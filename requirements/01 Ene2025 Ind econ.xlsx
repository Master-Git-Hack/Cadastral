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ink/ink1.xml" ContentType="application/inkml+xml"/>
  <Override PartName="/xl/ink/ink2.xml" ContentType="application/inkml+xml"/>
  <Override PartName="/xl/ink/ink3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-105" yWindow="-105" windowWidth="23250" windowHeight="12450" tabRatio="677"/>
  </bookViews>
  <sheets>
    <sheet name="Tasa de Capitalizacion" sheetId="20" r:id="rId1"/>
    <sheet name="Indicadores para avaluos" sheetId="24" r:id="rId2"/>
    <sheet name="VUE - Vida Util Economica" sheetId="21" r:id="rId3"/>
    <sheet name="Ecuacion de la tasa" sheetId="22" state="hidden" r:id="rId4"/>
    <sheet name="CAPM WACC" sheetId="28" state="hidden" r:id="rId5"/>
    <sheet name="CETES" sheetId="17" r:id="rId6"/>
    <sheet name="INPC" sheetId="18" state="hidden" r:id="rId7"/>
    <sheet name="TIIE " sheetId="11" state="hidden" r:id="rId8"/>
    <sheet name="IPyC 2024" sheetId="26" state="hidden" r:id="rId9"/>
  </sheets>
  <definedNames>
    <definedName name="____________________st1" hidden="1">{#N/A,#N/A,FALSE,"AVALUO";#N/A,#N/A,FALSE,"CONDOMINIO";#N/A,#N/A,FALSE,"TDF"}</definedName>
    <definedName name="____________________st2" hidden="1">{#N/A,#N/A,FALSE,"AVALUO";#N/A,#N/A,FALSE,"CONDOMINIO";#N/A,#N/A,FALSE,"IGECEM"}</definedName>
    <definedName name="___________________F" hidden="1">{"ANVERSO",#N/A,FALSE,"MEMBASES";"REVERSO",#N/A,FALSE,"MEMBASES"}</definedName>
    <definedName name="__________________st1" hidden="1">{#N/A,#N/A,FALSE,"AVALUO";#N/A,#N/A,FALSE,"CONDOMINIO";#N/A,#N/A,FALSE,"TDF"}</definedName>
    <definedName name="__________________st2" hidden="1">{#N/A,#N/A,FALSE,"AVALUO";#N/A,#N/A,FALSE,"CONDOMINIO";#N/A,#N/A,FALSE,"IGECEM"}</definedName>
    <definedName name="_________________F" hidden="1">{"ANVERSO",#N/A,FALSE,"MEMBASES";"REVERSO",#N/A,FALSE,"MEMBASES"}</definedName>
    <definedName name="_________________st1" hidden="1">{#N/A,#N/A,FALSE,"AVALUO";#N/A,#N/A,FALSE,"CONDOMINIO";#N/A,#N/A,FALSE,"TDF"}</definedName>
    <definedName name="_________________st2" hidden="1">{#N/A,#N/A,FALSE,"AVALUO";#N/A,#N/A,FALSE,"CONDOMINIO";#N/A,#N/A,FALSE,"IGECEM"}</definedName>
    <definedName name="________________F" hidden="1">{"ANVERSO",#N/A,FALSE,"MEMBASES";"REVERSO",#N/A,FALSE,"MEMBASES"}</definedName>
    <definedName name="________________st1" hidden="1">{#N/A,#N/A,FALSE,"AVALUO";#N/A,#N/A,FALSE,"CONDOMINIO";#N/A,#N/A,FALSE,"TDF"}</definedName>
    <definedName name="________________st2" hidden="1">{#N/A,#N/A,FALSE,"AVALUO";#N/A,#N/A,FALSE,"CONDOMINIO";#N/A,#N/A,FALSE,"IGECEM"}</definedName>
    <definedName name="_______________F" hidden="1">{"ANVERSO",#N/A,FALSE,"MEMBASES";"REVERSO",#N/A,FALSE,"MEMBASES"}</definedName>
    <definedName name="_______________st1" hidden="1">{#N/A,#N/A,FALSE,"AVALUO";#N/A,#N/A,FALSE,"CONDOMINIO";#N/A,#N/A,FALSE,"TDF"}</definedName>
    <definedName name="_______________st2" hidden="1">{#N/A,#N/A,FALSE,"AVALUO";#N/A,#N/A,FALSE,"CONDOMINIO";#N/A,#N/A,FALSE,"IGECEM"}</definedName>
    <definedName name="______________F" hidden="1">{"ANVERSO",#N/A,FALSE,"MEMBASES";"REVERSO",#N/A,FALSE,"MEMBASES"}</definedName>
    <definedName name="______________st1" hidden="1">{#N/A,#N/A,FALSE,"AVALUO";#N/A,#N/A,FALSE,"CONDOMINIO";#N/A,#N/A,FALSE,"TDF"}</definedName>
    <definedName name="______________st2" hidden="1">{#N/A,#N/A,FALSE,"AVALUO";#N/A,#N/A,FALSE,"CONDOMINIO";#N/A,#N/A,FALSE,"IGECEM"}</definedName>
    <definedName name="_____________F" hidden="1">{"ANVERSO",#N/A,FALSE,"MEMBASES";"REVERSO",#N/A,FALSE,"MEMBASES"}</definedName>
    <definedName name="_____________st1" hidden="1">{#N/A,#N/A,FALSE,"AVALUO";#N/A,#N/A,FALSE,"CONDOMINIO";#N/A,#N/A,FALSE,"TDF"}</definedName>
    <definedName name="_____________st2" hidden="1">{#N/A,#N/A,FALSE,"AVALUO";#N/A,#N/A,FALSE,"CONDOMINIO";#N/A,#N/A,FALSE,"IGECEM"}</definedName>
    <definedName name="____________F" hidden="1">{"ANVERSO",#N/A,FALSE,"MEMBASES";"REVERSO",#N/A,FALSE,"MEMBASES"}</definedName>
    <definedName name="____________st1" hidden="1">{#N/A,#N/A,FALSE,"AVALUO";#N/A,#N/A,FALSE,"CONDOMINIO";#N/A,#N/A,FALSE,"TDF"}</definedName>
    <definedName name="____________st2" hidden="1">{#N/A,#N/A,FALSE,"AVALUO";#N/A,#N/A,FALSE,"CONDOMINIO";#N/A,#N/A,FALSE,"IGECEM"}</definedName>
    <definedName name="___________F" hidden="1">{"ANVERSO",#N/A,FALSE,"MEMBASES";"REVERSO",#N/A,FALSE,"MEMBASES"}</definedName>
    <definedName name="___________st1" hidden="1">{#N/A,#N/A,FALSE,"AVALUO";#N/A,#N/A,FALSE,"CONDOMINIO";#N/A,#N/A,FALSE,"TDF"}</definedName>
    <definedName name="___________st2" hidden="1">{#N/A,#N/A,FALSE,"AVALUO";#N/A,#N/A,FALSE,"CONDOMINIO";#N/A,#N/A,FALSE,"IGECEM"}</definedName>
    <definedName name="__________F" hidden="1">{"ANVERSO",#N/A,FALSE,"MEMBASES";"REVERSO",#N/A,FALSE,"MEMBASES"}</definedName>
    <definedName name="__________st1" hidden="1">{#N/A,#N/A,FALSE,"AVALUO";#N/A,#N/A,FALSE,"CONDOMINIO";#N/A,#N/A,FALSE,"TDF"}</definedName>
    <definedName name="__________st2" hidden="1">{#N/A,#N/A,FALSE,"AVALUO";#N/A,#N/A,FALSE,"CONDOMINIO";#N/A,#N/A,FALSE,"IGECEM"}</definedName>
    <definedName name="_________F" hidden="1">{"ANVERSO",#N/A,FALSE,"MEMBASES";"REVERSO",#N/A,FALSE,"MEMBASES"}</definedName>
    <definedName name="_________GR2" localSheetId="8" hidden="1">{#N/A,#N/A,FALSE,"AVALUO";#N/A,#N/A,FALSE,"CONDOMINIO";#N/A,#N/A,FALSE,"IGECEM"}</definedName>
    <definedName name="_________GR2" hidden="1">{#N/A,#N/A,FALSE,"AVALUO";#N/A,#N/A,FALSE,"CONDOMINIO";#N/A,#N/A,FALSE,"IGECEM"}</definedName>
    <definedName name="_________st1" hidden="1">{#N/A,#N/A,FALSE,"AVALUO";#N/A,#N/A,FALSE,"CONDOMINIO";#N/A,#N/A,FALSE,"TDF"}</definedName>
    <definedName name="_________st2" hidden="1">{#N/A,#N/A,FALSE,"AVALUO";#N/A,#N/A,FALSE,"CONDOMINIO";#N/A,#N/A,FALSE,"IGECEM"}</definedName>
    <definedName name="________F" hidden="1">{"ANVERSO",#N/A,FALSE,"MEMBASES";"REVERSO",#N/A,FALSE,"MEMBASES"}</definedName>
    <definedName name="________GR2" localSheetId="8" hidden="1">{#N/A,#N/A,FALSE,"AVALUO";#N/A,#N/A,FALSE,"CONDOMINIO";#N/A,#N/A,FALSE,"IGECEM"}</definedName>
    <definedName name="________GR2" hidden="1">{#N/A,#N/A,FALSE,"AVALUO";#N/A,#N/A,FALSE,"CONDOMINIO";#N/A,#N/A,FALSE,"IGECEM"}</definedName>
    <definedName name="________st1" hidden="1">{#N/A,#N/A,FALSE,"AVALUO";#N/A,#N/A,FALSE,"CONDOMINIO";#N/A,#N/A,FALSE,"TDF"}</definedName>
    <definedName name="________st2" hidden="1">{#N/A,#N/A,FALSE,"AVALUO";#N/A,#N/A,FALSE,"CONDOMINIO";#N/A,#N/A,FALSE,"IGECEM"}</definedName>
    <definedName name="_______F" hidden="1">{"ANVERSO",#N/A,FALSE,"MEMBASES";"REVERSO",#N/A,FALSE,"MEMBASES"}</definedName>
    <definedName name="_______GR2" hidden="1">{#N/A,#N/A,FALSE,"AVALUO";#N/A,#N/A,FALSE,"CONDOMINIO";#N/A,#N/A,FALSE,"IGECEM"}</definedName>
    <definedName name="_______st1" hidden="1">{#N/A,#N/A,FALSE,"AVALUO";#N/A,#N/A,FALSE,"CONDOMINIO";#N/A,#N/A,FALSE,"TDF"}</definedName>
    <definedName name="_______st2" hidden="1">{#N/A,#N/A,FALSE,"AVALUO";#N/A,#N/A,FALSE,"CONDOMINIO";#N/A,#N/A,FALSE,"IGECEM"}</definedName>
    <definedName name="______F" hidden="1">{"ANVERSO",#N/A,FALSE,"MEMBASES";"REVERSO",#N/A,FALSE,"MEMBASES"}</definedName>
    <definedName name="______GR2" localSheetId="8" hidden="1">{#N/A,#N/A,FALSE,"AVALUO";#N/A,#N/A,FALSE,"CONDOMINIO";#N/A,#N/A,FALSE,"IGECEM"}</definedName>
    <definedName name="______GR2" hidden="1">{#N/A,#N/A,FALSE,"AVALUO";#N/A,#N/A,FALSE,"CONDOMINIO";#N/A,#N/A,FALSE,"IGECEM"}</definedName>
    <definedName name="______st1" hidden="1">{#N/A,#N/A,FALSE,"AVALUO";#N/A,#N/A,FALSE,"CONDOMINIO";#N/A,#N/A,FALSE,"TDF"}</definedName>
    <definedName name="______st2" hidden="1">{#N/A,#N/A,FALSE,"AVALUO";#N/A,#N/A,FALSE,"CONDOMINIO";#N/A,#N/A,FALSE,"IGECEM"}</definedName>
    <definedName name="_____F" hidden="1">{"ANVERSO",#N/A,FALSE,"MEMBASES";"REVERSO",#N/A,FALSE,"MEMBASES"}</definedName>
    <definedName name="_____GR2" localSheetId="8" hidden="1">{#N/A,#N/A,FALSE,"AVALUO";#N/A,#N/A,FALSE,"CONDOMINIO";#N/A,#N/A,FALSE,"IGECEM"}</definedName>
    <definedName name="_____GR2" hidden="1">{#N/A,#N/A,FALSE,"AVALUO";#N/A,#N/A,FALSE,"CONDOMINIO";#N/A,#N/A,FALSE,"IGECEM"}</definedName>
    <definedName name="_____st1" hidden="1">{#N/A,#N/A,FALSE,"AVALUO";#N/A,#N/A,FALSE,"CONDOMINIO";#N/A,#N/A,FALSE,"TDF"}</definedName>
    <definedName name="_____st2" hidden="1">{#N/A,#N/A,FALSE,"AVALUO";#N/A,#N/A,FALSE,"CONDOMINIO";#N/A,#N/A,FALSE,"IGECEM"}</definedName>
    <definedName name="____1__123Graph_AGRAFICO_1" localSheetId="4" hidden="1">#REF!</definedName>
    <definedName name="____1__123Graph_AGRAFICO_1" localSheetId="8" hidden="1">#REF!</definedName>
    <definedName name="____1__123Graph_AGRAFICO_1" hidden="1">#REF!</definedName>
    <definedName name="____2__123Graph_LBL_AGRAFICO_1" localSheetId="4" hidden="1">#REF!</definedName>
    <definedName name="____2__123Graph_LBL_AGRAFICO_1" localSheetId="8" hidden="1">#REF!</definedName>
    <definedName name="____2__123Graph_LBL_AGRAFICO_1" hidden="1">#REF!</definedName>
    <definedName name="____3__123Graph_XGRAFICO_1" localSheetId="4" hidden="1">#REF!</definedName>
    <definedName name="____3__123Graph_XGRAFICO_1" localSheetId="8" hidden="1">#REF!</definedName>
    <definedName name="____3__123Graph_XGRAFICO_1" hidden="1">#REF!</definedName>
    <definedName name="____F" hidden="1">{"ANVERSO",#N/A,FALSE,"MEMBASES";"REVERSO",#N/A,FALSE,"MEMBASES"}</definedName>
    <definedName name="____GR2" localSheetId="8" hidden="1">{#N/A,#N/A,FALSE,"AVALUO";#N/A,#N/A,FALSE,"CONDOMINIO";#N/A,#N/A,FALSE,"IGECEM"}</definedName>
    <definedName name="____GR2" hidden="1">{#N/A,#N/A,FALSE,"AVALUO";#N/A,#N/A,FALSE,"CONDOMINIO";#N/A,#N/A,FALSE,"IGECEM"}</definedName>
    <definedName name="____R" localSheetId="8" hidden="1">{#N/A,#N/A,FALSE,"AVALUO";#N/A,#N/A,FALSE,"CONDOMINIO";#N/A,#N/A,FALSE,"TDF"}</definedName>
    <definedName name="____R" hidden="1">{#N/A,#N/A,FALSE,"AVALUO";#N/A,#N/A,FALSE,"CONDOMINIO";#N/A,#N/A,FALSE,"TDF"}</definedName>
    <definedName name="____st1" hidden="1">{#N/A,#N/A,FALSE,"AVALUO";#N/A,#N/A,FALSE,"CONDOMINIO";#N/A,#N/A,FALSE,"TDF"}</definedName>
    <definedName name="____st2" hidden="1">{#N/A,#N/A,FALSE,"AVALUO";#N/A,#N/A,FALSE,"CONDOMINIO";#N/A,#N/A,FALSE,"IGECEM"}</definedName>
    <definedName name="____X1" localSheetId="8" hidden="1">{"ANVERSO",#N/A,FALSE,"MEMBASES";"REVERSO",#N/A,FALSE,"MEMBASES"}</definedName>
    <definedName name="____X1" hidden="1">{"ANVERSO",#N/A,FALSE,"MEMBASES";"REVERSO",#N/A,FALSE,"MEMBASES"}</definedName>
    <definedName name="___1__123Graph_AGRAFICO_1" localSheetId="4" hidden="1">#REF!</definedName>
    <definedName name="___1__123Graph_AGRAFICO_1" localSheetId="8" hidden="1">#REF!</definedName>
    <definedName name="___1__123Graph_AGRAFICO_1" hidden="1">#REF!</definedName>
    <definedName name="___2__123Graph_LBL_AGRAFICO_1" localSheetId="4" hidden="1">#REF!</definedName>
    <definedName name="___2__123Graph_LBL_AGRAFICO_1" localSheetId="8" hidden="1">#REF!</definedName>
    <definedName name="___2__123Graph_LBL_AGRAFICO_1" hidden="1">#REF!</definedName>
    <definedName name="___3__123Graph_XGRAFICO_1" localSheetId="4" hidden="1">#REF!</definedName>
    <definedName name="___3__123Graph_XGRAFICO_1" localSheetId="8" hidden="1">#REF!</definedName>
    <definedName name="___3__123Graph_XGRAFICO_1" hidden="1">#REF!</definedName>
    <definedName name="___f" localSheetId="8" hidden="1">{"TEXTO DEL AVALUO",#N/A,TRUE,"AVALUO";"CALCULOS Y DICTAMEN",#N/A,TRUE,"CONDOMINIO"}</definedName>
    <definedName name="___f" hidden="1">{"TEXTO DEL AVALUO",#N/A,TRUE,"AVALUO";"CALCULOS Y DICTAMEN",#N/A,TRUE,"CONDOMINIO"}</definedName>
    <definedName name="___GR2" localSheetId="8" hidden="1">{#N/A,#N/A,FALSE,"AVALUO";#N/A,#N/A,FALSE,"CONDOMINIO";#N/A,#N/A,FALSE,"IGECEM"}</definedName>
    <definedName name="___GR2" hidden="1">{#N/A,#N/A,FALSE,"AVALUO";#N/A,#N/A,FALSE,"CONDOMINIO";#N/A,#N/A,FALSE,"IGECEM"}</definedName>
    <definedName name="___R" localSheetId="8" hidden="1">{#N/A,#N/A,FALSE,"AVALUO";#N/A,#N/A,FALSE,"CONDOMINIO";#N/A,#N/A,FALSE,"TDF"}</definedName>
    <definedName name="___R" hidden="1">{#N/A,#N/A,FALSE,"AVALUO";#N/A,#N/A,FALSE,"CONDOMINIO";#N/A,#N/A,FALSE,"TDF"}</definedName>
    <definedName name="___st1" hidden="1">{#N/A,#N/A,FALSE,"AVALUO";#N/A,#N/A,FALSE,"CONDOMINIO";#N/A,#N/A,FALSE,"TDF"}</definedName>
    <definedName name="___st2" hidden="1">{#N/A,#N/A,FALSE,"AVALUO";#N/A,#N/A,FALSE,"CONDOMINIO";#N/A,#N/A,FALSE,"IGECEM"}</definedName>
    <definedName name="___X1" localSheetId="8" hidden="1">{"ANVERSO",#N/A,FALSE,"MEMBASES";"REVERSO",#N/A,FALSE,"MEMBASES"}</definedName>
    <definedName name="___X1" hidden="1">{"ANVERSO",#N/A,FALSE,"MEMBASES";"REVERSO",#N/A,FALSE,"MEMBASES"}</definedName>
    <definedName name="__1__123Graph_AGRAFICO_1" localSheetId="4" hidden="1">#REF!</definedName>
    <definedName name="__1__123Graph_AGRAFICO_1" localSheetId="8" hidden="1">#REF!</definedName>
    <definedName name="__1__123Graph_AGRAFICO_1" hidden="1">#REF!</definedName>
    <definedName name="__2__123Graph_LBL_AGRAFICO_1" localSheetId="4" hidden="1">#REF!</definedName>
    <definedName name="__2__123Graph_LBL_AGRAFICO_1" localSheetId="8" hidden="1">#REF!</definedName>
    <definedName name="__2__123Graph_LBL_AGRAFICO_1" hidden="1">#REF!</definedName>
    <definedName name="__3__123Graph_XGRAFICO_1" localSheetId="4" hidden="1">#REF!</definedName>
    <definedName name="__3__123Graph_XGRAFICO_1" localSheetId="8" hidden="1">#REF!</definedName>
    <definedName name="__3__123Graph_XGRAFICO_1" hidden="1">#REF!</definedName>
    <definedName name="__F" hidden="1">{"ANVERSO",#N/A,FALSE,"MEMBASES";"REVERSO",#N/A,FALSE,"MEMBASES"}</definedName>
    <definedName name="__GR2" localSheetId="8" hidden="1">{#N/A,#N/A,FALSE,"AVALUO";#N/A,#N/A,FALSE,"CONDOMINIO";#N/A,#N/A,FALSE,"IGECEM"}</definedName>
    <definedName name="__GR2" hidden="1">{#N/A,#N/A,FALSE,"AVALUO";#N/A,#N/A,FALSE,"CONDOMINIO";#N/A,#N/A,FALSE,"IGECEM"}</definedName>
    <definedName name="__st1" hidden="1">{#N/A,#N/A,FALSE,"AVALUO";#N/A,#N/A,FALSE,"CONDOMINIO";#N/A,#N/A,FALSE,"TDF"}</definedName>
    <definedName name="__st2" hidden="1">{#N/A,#N/A,FALSE,"AVALUO";#N/A,#N/A,FALSE,"CONDOMINIO";#N/A,#N/A,FALSE,"IGECEM"}</definedName>
    <definedName name="__X1" localSheetId="8" hidden="1">{"ANVERSO",#N/A,FALSE,"MEMBASES";"REVERSO",#N/A,FALSE,"MEMBASES"}</definedName>
    <definedName name="__X1" hidden="1">{"ANVERSO",#N/A,FALSE,"MEMBASES";"REVERSO",#N/A,FALSE,"MEMBASES"}</definedName>
    <definedName name="_1" hidden="1">#REF!</definedName>
    <definedName name="_1__123Graph_ACHART_1" hidden="1">#REF!</definedName>
    <definedName name="_1__123Graph_AGRAFICO_1" localSheetId="4" hidden="1">#REF!</definedName>
    <definedName name="_1__123Graph_AGRAFICO_1" localSheetId="8" hidden="1">#REF!</definedName>
    <definedName name="_1__123Graph_AGRAFICO_1" hidden="1">#REF!</definedName>
    <definedName name="_10__123Graph_BCHART_4" hidden="1">#REF!</definedName>
    <definedName name="_11__123Graph_BCHART_5" hidden="1">#REF!</definedName>
    <definedName name="_12__123Graph_ACHART_4" hidden="1">#REF!</definedName>
    <definedName name="_12__123Graph_BCHART_6" hidden="1">#REF!</definedName>
    <definedName name="_13__123Graph_BCHART_7" hidden="1">#REF!</definedName>
    <definedName name="_14__123Graph_LBL_ACHART_1" hidden="1">#REF!</definedName>
    <definedName name="_15__123Graph_ACHART_5" hidden="1">#REF!</definedName>
    <definedName name="_15__123Graph_LBL_ACHART_2" hidden="1">#REF!</definedName>
    <definedName name="_16__123Graph_LBL_ACHART_3" hidden="1">#REF!</definedName>
    <definedName name="_17__123Graph_LBL_ACHART_4" hidden="1">#REF!</definedName>
    <definedName name="_18__123Graph_ACHART_6" hidden="1">#REF!</definedName>
    <definedName name="_18__123Graph_LBL_ACHART_5" hidden="1">#REF!</definedName>
    <definedName name="_19__123Graph_LBL_ACHART_6" hidden="1">#REF!</definedName>
    <definedName name="_2__123Graph_ACHART_2" hidden="1">#REF!</definedName>
    <definedName name="_2__123Graph_AGRAFICO_1" localSheetId="4" hidden="1">#REF!</definedName>
    <definedName name="_2__123Graph_AGRAFICO_1" localSheetId="8" hidden="1">#REF!</definedName>
    <definedName name="_2__123Graph_AGRAFICO_1" hidden="1">#REF!</definedName>
    <definedName name="_2__123Graph_LBL_AGRAFICO_1" localSheetId="4" hidden="1">#REF!</definedName>
    <definedName name="_2__123Graph_LBL_AGRAFICO_1" localSheetId="8" hidden="1">#REF!</definedName>
    <definedName name="_2__123Graph_LBL_AGRAFICO_1" hidden="1">#REF!</definedName>
    <definedName name="_20__123Graph_LBL_ACHART_7" hidden="1">#REF!</definedName>
    <definedName name="_21__123Graph_ACHART_7" hidden="1">#REF!</definedName>
    <definedName name="_21__123Graph_LBL_BCHART_2" hidden="1">#REF!</definedName>
    <definedName name="_2132165165" hidden="1">#REF!</definedName>
    <definedName name="_22__123Graph_LBL_BCHART_3" hidden="1">#REF!</definedName>
    <definedName name="_23__123Graph_LBL_BCHART_4" hidden="1">#REF!</definedName>
    <definedName name="_24__123Graph_BCHART_2" hidden="1">#REF!</definedName>
    <definedName name="_24__123Graph_LBL_BCHART_5" hidden="1">#REF!</definedName>
    <definedName name="_25__123Graph_LBL_BCHART_6" hidden="1">#REF!</definedName>
    <definedName name="_26__123Graph_LBL_BCHART_7" hidden="1">#REF!</definedName>
    <definedName name="_27__123Graph_BCHART_3" hidden="1">#REF!</definedName>
    <definedName name="_27__123Graph_XCHART_3" hidden="1">#REF!</definedName>
    <definedName name="_28__123Graph_XCHART_4" hidden="1">#REF!</definedName>
    <definedName name="_29__123Graph_XCHART_5" hidden="1">#REF!</definedName>
    <definedName name="_3__123Graph_ACHART_1" hidden="1">#REF!</definedName>
    <definedName name="_3__123Graph_ACHART_3" hidden="1">#REF!</definedName>
    <definedName name="_3__123Graph_XGRAFICO_1" localSheetId="4" hidden="1">#REF!</definedName>
    <definedName name="_3__123Graph_XGRAFICO_1" localSheetId="8" hidden="1">#REF!</definedName>
    <definedName name="_3__123Graph_XGRAFICO_1" hidden="1">#REF!</definedName>
    <definedName name="_30__123Graph_BCHART_4" hidden="1">#REF!</definedName>
    <definedName name="_30__123Graph_XCHART_6" hidden="1">#REF!</definedName>
    <definedName name="_31__123Graph_XCHART_7" hidden="1">#REF!</definedName>
    <definedName name="_33__123Graph_BCHART_5" hidden="1">#REF!</definedName>
    <definedName name="_36__123Graph_BCHART_6" hidden="1">#REF!</definedName>
    <definedName name="_39__123Graph_BCHART_7" hidden="1">#REF!</definedName>
    <definedName name="_4__123Graph_ACHART_4" hidden="1">#REF!</definedName>
    <definedName name="_4__123Graph_LBL_AGRAFICO_1" localSheetId="4" hidden="1">#REF!</definedName>
    <definedName name="_4__123Graph_LBL_AGRAFICO_1" localSheetId="8" hidden="1">#REF!</definedName>
    <definedName name="_4__123Graph_LBL_AGRAFICO_1" hidden="1">#REF!</definedName>
    <definedName name="_42__123Graph_LBL_ACHART_1" hidden="1">#REF!</definedName>
    <definedName name="_45__123Graph_LBL_ACHART_2" hidden="1">#REF!</definedName>
    <definedName name="_48__123Graph_LBL_ACHART_3" hidden="1">#REF!</definedName>
    <definedName name="_5__123Graph_ACHART_5" hidden="1">#REF!</definedName>
    <definedName name="_51__123Graph_LBL_ACHART_4" hidden="1">#REF!</definedName>
    <definedName name="_54__123Graph_LBL_ACHART_5" hidden="1">#REF!</definedName>
    <definedName name="_57__123Graph_LBL_ACHART_6" hidden="1">#REF!</definedName>
    <definedName name="_6__123Graph_ACHART_2" hidden="1">#REF!</definedName>
    <definedName name="_6__123Graph_ACHART_6" hidden="1">#REF!</definedName>
    <definedName name="_6__123Graph_XGRAFICO_1" localSheetId="4" hidden="1">#REF!</definedName>
    <definedName name="_6__123Graph_XGRAFICO_1" localSheetId="8" hidden="1">#REF!</definedName>
    <definedName name="_6__123Graph_XGRAFICO_1" hidden="1">#REF!</definedName>
    <definedName name="_60__123Graph_LBL_ACHART_7" hidden="1">#REF!</definedName>
    <definedName name="_63__123Graph_LBL_BCHART_2" hidden="1">#REF!</definedName>
    <definedName name="_66__123Graph_LBL_BCHART_3" hidden="1">#REF!</definedName>
    <definedName name="_69__123Graph_LBL_BCHART_4" hidden="1">#REF!</definedName>
    <definedName name="_7__123Graph_ACHART_7" hidden="1">#REF!</definedName>
    <definedName name="_72__123Graph_LBL_BCHART_5" hidden="1">#REF!</definedName>
    <definedName name="_75__123Graph_LBL_BCHART_6" hidden="1">#REF!</definedName>
    <definedName name="_78__123Graph_LBL_BCHART_7" hidden="1">#REF!</definedName>
    <definedName name="_8__123Graph_BCHART_2" hidden="1">#REF!</definedName>
    <definedName name="_81__123Graph_XCHART_3" hidden="1">#REF!</definedName>
    <definedName name="_84__123Graph_XCHART_4" hidden="1">#REF!</definedName>
    <definedName name="_87__123Graph_XCHART_5" hidden="1">#REF!</definedName>
    <definedName name="_9__123Graph_ACHART_3" hidden="1">#REF!</definedName>
    <definedName name="_9__123Graph_BCHART_3" hidden="1">#REF!</definedName>
    <definedName name="_90__123Graph_XCHART_6" hidden="1">#REF!</definedName>
    <definedName name="_93__123Graph_XCHART_7" hidden="1">#REF!</definedName>
    <definedName name="_f" localSheetId="8" hidden="1">{"TEXTO DEL AVALUO",#N/A,TRUE,"AVALUO";"CALCULOS Y DICTAMEN",#N/A,TRUE,"CONDOMINIO"}</definedName>
    <definedName name="_F" hidden="1">{"ANVERSO",#N/A,FALSE,"MEMBASES";"REVERSO",#N/A,FALSE,"MEMBASES"}</definedName>
    <definedName name="_Fill" localSheetId="4" hidden="1">#REF!</definedName>
    <definedName name="_Fill" localSheetId="8" hidden="1">#REF!</definedName>
    <definedName name="_Fill" hidden="1">#REF!</definedName>
    <definedName name="_xlnm._FilterDatabase" localSheetId="4" hidden="1">#REF!</definedName>
    <definedName name="_xlnm._FilterDatabase" localSheetId="8" hidden="1">#REF!</definedName>
    <definedName name="_xlnm._FilterDatabase" hidden="1">#REF!</definedName>
    <definedName name="_GR2" localSheetId="8" hidden="1">{#N/A,#N/A,FALSE,"AVALUO";#N/A,#N/A,FALSE,"CONDOMINIO";#N/A,#N/A,FALSE,"IGECEM"}</definedName>
    <definedName name="_GR2" hidden="1">{#N/A,#N/A,FALSE,"AVALUO";#N/A,#N/A,FALSE,"CONDOMINIO";#N/A,#N/A,FALSE,"IGECEM"}</definedName>
    <definedName name="_Key1" localSheetId="4" hidden="1">#REF!</definedName>
    <definedName name="_Key1" localSheetId="8" hidden="1">#REF!</definedName>
    <definedName name="_Key1" hidden="1">#REF!</definedName>
    <definedName name="_Key2" hidden="1">#REF!</definedName>
    <definedName name="_O2" localSheetId="8" hidden="1">{"TEXTO DEL AVALUO",#N/A,TRUE,"AVALUO";"CALCULOS Y DICTAMEN",#N/A,TRUE,"CONDOMINIO"}</definedName>
    <definedName name="_O2" hidden="1">{"TEXTO DEL AVALUO",#N/A,TRUE,"AVALUO";"CALCULOS Y DICTAMEN",#N/A,TRUE,"CONDOMINIO"}</definedName>
    <definedName name="_O3" localSheetId="8" hidden="1">{"TEXTO DEL AVALUO",#N/A,FALSE,"AVALUO";"CALCULOS Y DICTAMEN",#N/A,FALSE,"CONDOMINIO"}</definedName>
    <definedName name="_O3" hidden="1">{"TEXTO DEL AVALUO",#N/A,FALSE,"AVALUO";"CALCULOS Y DICTAMEN",#N/A,FALSE,"CONDOMINIO"}</definedName>
    <definedName name="_O4" localSheetId="8" hidden="1">{#N/A,#N/A,FALSE,"AVALUO";#N/A,#N/A,FALSE,"CONDOMINIO";#N/A,#N/A,FALSE,"TDF"}</definedName>
    <definedName name="_O4" hidden="1">{#N/A,#N/A,FALSE,"AVALUO";#N/A,#N/A,FALSE,"CONDOMINIO";#N/A,#N/A,FALSE,"TDF"}</definedName>
    <definedName name="_O5" localSheetId="8" hidden="1">{#N/A,#N/A,FALSE,"AVALUO";#N/A,#N/A,FALSE,"CONDOMINIO";#N/A,#N/A,FALSE,"IGECEM"}</definedName>
    <definedName name="_O5" hidden="1">{#N/A,#N/A,FALSE,"AVALUO";#N/A,#N/A,FALSE,"CONDOMINIO";#N/A,#N/A,FALSE,"IGECEM"}</definedName>
    <definedName name="_O6" localSheetId="8" hidden="1">{#N/A,#N/A,FALSE,"AVALUO";#N/A,#N/A,FALSE,"CONDOMINIO";#N/A,#N/A,FALSE,"IGECEM"}</definedName>
    <definedName name="_O6" hidden="1">{#N/A,#N/A,FALSE,"AVALUO";#N/A,#N/A,FALSE,"CONDOMINIO";#N/A,#N/A,FALSE,"IGECEM"}</definedName>
    <definedName name="_Order1" hidden="1">255</definedName>
    <definedName name="_Order2" hidden="1">0</definedName>
    <definedName name="_Parse_Out" localSheetId="4" hidden="1">#REF!</definedName>
    <definedName name="_Parse_Out" localSheetId="8" hidden="1">#REF!</definedName>
    <definedName name="_Parse_Out" hidden="1">#REF!</definedName>
    <definedName name="_Sort" localSheetId="4" hidden="1">#REF!</definedName>
    <definedName name="_Sort" localSheetId="8" hidden="1">#REF!</definedName>
    <definedName name="_Sort" hidden="1">#REF!</definedName>
    <definedName name="_st1" localSheetId="8" hidden="1">{#N/A,#N/A,FALSE,"AVALUO";#N/A,#N/A,FALSE,"CONDOMINIO";#N/A,#N/A,FALSE,"TDF"}</definedName>
    <definedName name="_st1" hidden="1">{#N/A,#N/A,FALSE,"AVALUO";#N/A,#N/A,FALSE,"CONDOMINIO";#N/A,#N/A,FALSE,"TDF"}</definedName>
    <definedName name="_st2" localSheetId="8" hidden="1">{#N/A,#N/A,FALSE,"AVALUO";#N/A,#N/A,FALSE,"CONDOMINIO";#N/A,#N/A,FALSE,"IGECEM"}</definedName>
    <definedName name="_st2" hidden="1">{#N/A,#N/A,FALSE,"AVALUO";#N/A,#N/A,FALSE,"CONDOMINIO";#N/A,#N/A,FALSE,"IGECEM"}</definedName>
    <definedName name="_Table1_In1" localSheetId="4" hidden="1">#REF!</definedName>
    <definedName name="_Table1_In1" localSheetId="8" hidden="1">#REF!</definedName>
    <definedName name="_Table1_In1" hidden="1">#REF!</definedName>
    <definedName name="_Table1_Out" localSheetId="4" hidden="1">#REF!</definedName>
    <definedName name="_Table1_Out" localSheetId="8" hidden="1">#REF!</definedName>
    <definedName name="_Table1_Out" hidden="1">#REF!</definedName>
    <definedName name="_Table2_In1" localSheetId="4" hidden="1">#REF!</definedName>
    <definedName name="_Table2_In1" localSheetId="8" hidden="1">#REF!</definedName>
    <definedName name="_Table2_In1" hidden="1">#REF!</definedName>
    <definedName name="_Table2_In2" localSheetId="4" hidden="1">#REF!</definedName>
    <definedName name="_Table2_In2" localSheetId="8" hidden="1">#REF!</definedName>
    <definedName name="_Table2_In2" hidden="1">#REF!</definedName>
    <definedName name="_Table2_Out" localSheetId="4" hidden="1">#REF!</definedName>
    <definedName name="_Table2_Out" localSheetId="8" hidden="1">#REF!</definedName>
    <definedName name="_Table2_Out" hidden="1">#REF!</definedName>
    <definedName name="_W17505" localSheetId="8" hidden="1">{#N/A,#N/A,FALSE,"AVALUO";#N/A,#N/A,FALSE,"CONDOMINIO";#N/A,#N/A,FALSE,"IGECEM"}</definedName>
    <definedName name="_W17505" hidden="1">{#N/A,#N/A,FALSE,"AVALUO";#N/A,#N/A,FALSE,"CONDOMINIO";#N/A,#N/A,FALSE,"IGECEM"}</definedName>
    <definedName name="_W17508" localSheetId="8" hidden="1">{#N/A,#N/A,FALSE,"AVALUO";#N/A,#N/A,FALSE,"CONDOMINIO";#N/A,#N/A,FALSE,"IGECEM"}</definedName>
    <definedName name="_W17508" hidden="1">{#N/A,#N/A,FALSE,"AVALUO";#N/A,#N/A,FALSE,"CONDOMINIO";#N/A,#N/A,FALSE,"IGECEM"}</definedName>
    <definedName name="_X1" localSheetId="8" hidden="1">{"ANVERSO",#N/A,FALSE,"MEMBASES";"REVERSO",#N/A,FALSE,"MEMBASES"}</definedName>
    <definedName name="_X1" hidden="1">{"ANVERSO",#N/A,FALSE,"MEMBASES";"REVERSO",#N/A,FALSE,"MEMBASES"}</definedName>
    <definedName name="A" hidden="1">{"TEXTO DEL AVALUO",#N/A,TRUE,"AVALUO";"CALCULOS Y DICTAMEN",#N/A,TRUE,"CONDOMINIO"}</definedName>
    <definedName name="aaa" localSheetId="8" hidden="1">{#N/A,#N/A,FALSE,"AVALUO";#N/A,#N/A,FALSE,"CONDOMINIO";#N/A,#N/A,FALSE,"IGECEM"}</definedName>
    <definedName name="aaa" hidden="1">{#N/A,#N/A,FALSE,"AVALUO";#N/A,#N/A,FALSE,"CONDOMINIO";#N/A,#N/A,FALSE,"IGECEM"}</definedName>
    <definedName name="aaaa" localSheetId="8" hidden="1">{#N/A,#N/A,FALSE,"AVALUO";#N/A,#N/A,FALSE,"CONDOMINIO";#N/A,#N/A,FALSE,"TDF"}</definedName>
    <definedName name="aaaa" hidden="1">{#N/A,#N/A,FALSE,"AVALUO";#N/A,#N/A,FALSE,"CONDOMINIO";#N/A,#N/A,FALSE,"TDF"}</definedName>
    <definedName name="AAAAA" localSheetId="8" hidden="1">{#N/A,#N/A,FALSE,"AVALUO";#N/A,#N/A,FALSE,"CONDOMINIO";#N/A,#N/A,FALSE,"IGECEM"}</definedName>
    <definedName name="AAAAA" hidden="1">{#N/A,#N/A,FALSE,"AVALUO";#N/A,#N/A,FALSE,"CONDOMINIO";#N/A,#N/A,FALSE,"IGECEM"}</definedName>
    <definedName name="aaass" localSheetId="8" hidden="1">{#N/A,#N/A,FALSE,"AVALUO";#N/A,#N/A,FALSE,"CONDOMINIO";#N/A,#N/A,FALSE,"IGECEM"}</definedName>
    <definedName name="aaass" hidden="1">{#N/A,#N/A,FALSE,"AVALUO";#N/A,#N/A,FALSE,"CONDOMINIO";#N/A,#N/A,FALSE,"IGECEM"}</definedName>
    <definedName name="aasas" localSheetId="8" hidden="1">{#N/A,#N/A,FALSE,"AVALUO";#N/A,#N/A,FALSE,"CONDOMINIO";#N/A,#N/A,FALSE,"TDF"}</definedName>
    <definedName name="aasas" hidden="1">{#N/A,#N/A,FALSE,"AVALUO";#N/A,#N/A,FALSE,"CONDOMINIO";#N/A,#N/A,FALSE,"TDF"}</definedName>
    <definedName name="aasasa" localSheetId="8" hidden="1">{#N/A,#N/A,FALSE,"AVALUO";#N/A,#N/A,FALSE,"CONDOMINIO";#N/A,#N/A,FALSE,"TDF"}</definedName>
    <definedName name="aasasa" hidden="1">{#N/A,#N/A,FALSE,"AVALUO";#N/A,#N/A,FALSE,"CONDOMINIO";#N/A,#N/A,FALSE,"TDF"}</definedName>
    <definedName name="aass" localSheetId="8" hidden="1">{#N/A,#N/A,FALSE,"AVALUO";#N/A,#N/A,FALSE,"CONDOMINIO";#N/A,#N/A,FALSE,"TDF"}</definedName>
    <definedName name="aass" hidden="1">{#N/A,#N/A,FALSE,"AVALUO";#N/A,#N/A,FALSE,"CONDOMINIO";#N/A,#N/A,FALSE,"TDF"}</definedName>
    <definedName name="aassasa" localSheetId="8" hidden="1">{#N/A,#N/A,FALSE,"AVALUO";#N/A,#N/A,FALSE,"CONDOMINIO";#N/A,#N/A,FALSE,"TDF"}</definedName>
    <definedName name="aassasa" hidden="1">{#N/A,#N/A,FALSE,"AVALUO";#N/A,#N/A,FALSE,"CONDOMINIO";#N/A,#N/A,FALSE,"TDF"}</definedName>
    <definedName name="aassdd" localSheetId="8" hidden="1">{#N/A,#N/A,FALSE,"AVALUO";#N/A,#N/A,FALSE,"CONDOMINIO";#N/A,#N/A,FALSE,"TDF"}</definedName>
    <definedName name="aassdd" hidden="1">{#N/A,#N/A,FALSE,"AVALUO";#N/A,#N/A,FALSE,"CONDOMINIO";#N/A,#N/A,FALSE,"TDF"}</definedName>
    <definedName name="ABC" localSheetId="8" hidden="1">{#N/A,#N/A,FALSE,"AVALUO";#N/A,#N/A,FALSE,"CONDOMINIO";#N/A,#N/A,FALSE,"TDF"}</definedName>
    <definedName name="ABC" hidden="1">{#N/A,#N/A,FALSE,"AVALUO";#N/A,#N/A,FALSE,"CONDOMINIO";#N/A,#N/A,FALSE,"TDF"}</definedName>
    <definedName name="Access_Button" hidden="1">"Varios_Mich__Hoja1_Lista"</definedName>
    <definedName name="AccessDatabase" hidden="1">"C:\Mis documentos\Varios Mich..mdb"</definedName>
    <definedName name="Actopan" localSheetId="8" hidden="1">{#N/A,#N/A,FALSE,"AVALUO";#N/A,#N/A,FALSE,"CONDOMINIO";#N/A,#N/A,FALSE,"TDF"}</definedName>
    <definedName name="Actopan" hidden="1">{#N/A,#N/A,FALSE,"AVALUO";#N/A,#N/A,FALSE,"CONDOMINIO";#N/A,#N/A,FALSE,"TDF"}</definedName>
    <definedName name="Actopan2" localSheetId="8" hidden="1">{#N/A,#N/A,FALSE,"AVALUO";#N/A,#N/A,FALSE,"CONDOMINIO";#N/A,#N/A,FALSE,"IGECEM"}</definedName>
    <definedName name="Actopan2" hidden="1">{#N/A,#N/A,FALSE,"AVALUO";#N/A,#N/A,FALSE,"CONDOMINIO";#N/A,#N/A,FALSE,"IGECEM"}</definedName>
    <definedName name="Actopan4" localSheetId="8" hidden="1">{#N/A,#N/A,FALSE,"AVALUO";#N/A,#N/A,FALSE,"CONDOMINIO";#N/A,#N/A,FALSE,"TDF"}</definedName>
    <definedName name="Actopan4" hidden="1">{#N/A,#N/A,FALSE,"AVALUO";#N/A,#N/A,FALSE,"CONDOMINIO";#N/A,#N/A,FALSE,"TDF"}</definedName>
    <definedName name="ad" localSheetId="8" hidden="1">{#N/A,#N/A,FALSE,"AVALUO";#N/A,#N/A,FALSE,"CONDOMINIO";#N/A,#N/A,FALSE,"IGECEM"}</definedName>
    <definedName name="ad" hidden="1">{#N/A,#N/A,FALSE,"AVALUO";#N/A,#N/A,FALSE,"CONDOMINIO";#N/A,#N/A,FALSE,"IGECEM"}</definedName>
    <definedName name="adasdwer" localSheetId="8" hidden="1">{"TEXTO DEL AVALUO",#N/A,TRUE,"AVALUO";"CALCULOS Y DICTAMEN",#N/A,TRUE,"CONDOMINIO"}</definedName>
    <definedName name="adasdwer" hidden="1">{"TEXTO DEL AVALUO",#N/A,TRUE,"AVALUO";"CALCULOS Y DICTAMEN",#N/A,TRUE,"CONDOMINIO"}</definedName>
    <definedName name="ADCCC" localSheetId="8" hidden="1">{#N/A,#N/A,FALSE,"AVALUO";#N/A,#N/A,FALSE,"CONDOMINIO";#N/A,#N/A,FALSE,"IGECEM"}</definedName>
    <definedName name="ADCCC" hidden="1">{#N/A,#N/A,FALSE,"AVALUO";#N/A,#N/A,FALSE,"CONDOMINIO";#N/A,#N/A,FALSE,"IGECEM"}</definedName>
    <definedName name="ader" localSheetId="8" hidden="1">{#N/A,#N/A,FALSE,"AVALUO";#N/A,#N/A,FALSE,"CONDOMINIO";#N/A,#N/A,FALSE,"IGECEM"}</definedName>
    <definedName name="ader" hidden="1">{#N/A,#N/A,FALSE,"AVALUO";#N/A,#N/A,FALSE,"CONDOMINIO";#N/A,#N/A,FALSE,"IGECEM"}</definedName>
    <definedName name="ades" localSheetId="8" hidden="1">{#N/A,#N/A,FALSE,"AVALUO";#N/A,#N/A,FALSE,"CONDOMINIO";#N/A,#N/A,FALSE,"IGECEM"}</definedName>
    <definedName name="ades" hidden="1">{#N/A,#N/A,FALSE,"AVALUO";#N/A,#N/A,FALSE,"CONDOMINIO";#N/A,#N/A,FALSE,"IGECEM"}</definedName>
    <definedName name="adfrt" localSheetId="8" hidden="1">{"TEXTO DEL AVALUO",#N/A,TRUE,"AVALUO";"CALCULOS Y DICTAMEN",#N/A,TRUE,"CONDOMINIO"}</definedName>
    <definedName name="adfrt" hidden="1">{"TEXTO DEL AVALUO",#N/A,TRUE,"AVALUO";"CALCULOS Y DICTAMEN",#N/A,TRUE,"CONDOMINIO"}</definedName>
    <definedName name="ador" hidden="1">{#N/A,#N/A,FALSE,"AVALUO";#N/A,#N/A,FALSE,"CONDOMINIO";#N/A,#N/A,FALSE,"IGECEM"}</definedName>
    <definedName name="ads" localSheetId="8" hidden="1">{"TEXTO DEL AVALUO",#N/A,FALSE,"AVALUO";"CALCULOS Y DICTAMEN",#N/A,FALSE,"CONDOMINIO"}</definedName>
    <definedName name="ads" hidden="1">{"TEXTO DEL AVALUO",#N/A,FALSE,"AVALUO";"CALCULOS Y DICTAMEN",#N/A,FALSE,"CONDOMINIO"}</definedName>
    <definedName name="af" localSheetId="8" hidden="1">{#N/A,#N/A,FALSE,"AVALUO";#N/A,#N/A,FALSE,"CONDOMINIO";#N/A,#N/A,FALSE,"TDF"}</definedName>
    <definedName name="af" hidden="1">{#N/A,#N/A,FALSE,"AVALUO";#N/A,#N/A,FALSE,"CONDOMINIO";#N/A,#N/A,FALSE,"TDF"}</definedName>
    <definedName name="aghhermosillo" hidden="1">{"TEXTO DEL AVALUO",#N/A,TRUE,"AVALUO";"CALCULOS Y DICTAMEN",#N/A,TRUE,"CONDOMINIO"}</definedName>
    <definedName name="ale" hidden="1">{"AVALUO DE TEXTO",#N/A,FALSE,"AVALUO";"CALCULOS EN CONDOMINIO",#N/A,FALSE,"CONDOMINIO"}</definedName>
    <definedName name="ANAL.MER2" hidden="1">{#N/A,#N/A,FALSE,"AVALUO";#N/A,#N/A,FALSE,"CONDOMINIO";#N/A,#N/A,FALSE,"IGECEM"}</definedName>
    <definedName name="anal.merc" localSheetId="4" hidden="1">{#N/A,#N/A,FALSE,"AVALUO";#N/A,#N/A,FALSE,"CONDOMINIO";#N/A,#N/A,FALSE,"IGECEM"}</definedName>
    <definedName name="anal.merc" localSheetId="8" hidden="1">{#N/A,#N/A,FALSE,"AVALUO";#N/A,#N/A,FALSE,"CONDOMINIO";#N/A,#N/A,FALSE,"IGECEM"}</definedName>
    <definedName name="anal.merc" hidden="1">{#N/A,#N/A,FALSE,"AVALUO";#N/A,#N/A,FALSE,"CONDOMINIO";#N/A,#N/A,FALSE,"IGECEM"}</definedName>
    <definedName name="anal.merca" hidden="1">{#N/A,#N/A,FALSE,"AVALUO";#N/A,#N/A,FALSE,"CONDOMINIO";#N/A,#N/A,FALSE,"IGECEM"}</definedName>
    <definedName name="angeles" hidden="1">{#N/A,#N/A,FALSE,"DICTEC"}</definedName>
    <definedName name="ar" hidden="1">{#N/A,#N/A,FALSE,"AVALUO";#N/A,#N/A,FALSE,"CONDOMINIO";#N/A,#N/A,FALSE,"TDF"}</definedName>
    <definedName name="AS" localSheetId="8" hidden="1">{#N/A,#N/A,FALSE,"AVALUO";#N/A,#N/A,FALSE,"CONDOMINIO";#N/A,#N/A,FALSE,"TDF"}</definedName>
    <definedName name="AS" hidden="1">{#N/A,#N/A,FALSE,"AVALUO";#N/A,#N/A,FALSE,"CONDOMINIO";#N/A,#N/A,FALSE,"TDF"}</definedName>
    <definedName name="asadert" localSheetId="8" hidden="1">{#N/A,#N/A,FALSE,"AVALUO";#N/A,#N/A,FALSE,"CONDOMINIO";#N/A,#N/A,FALSE,"TDF"}</definedName>
    <definedName name="asadert" hidden="1">{#N/A,#N/A,FALSE,"AVALUO";#N/A,#N/A,FALSE,"CONDOMINIO";#N/A,#N/A,FALSE,"TDF"}</definedName>
    <definedName name="ASAF" localSheetId="8" hidden="1">{#N/A,#N/A,FALSE,"AVALUO";#N/A,#N/A,FALSE,"CONDOMINIO";#N/A,#N/A,FALSE,"TDF"}</definedName>
    <definedName name="ASAF" hidden="1">{#N/A,#N/A,FALSE,"AVALUO";#N/A,#N/A,FALSE,"CONDOMINIO";#N/A,#N/A,FALSE,"TDF"}</definedName>
    <definedName name="asasassad" localSheetId="8" hidden="1">{#N/A,#N/A,FALSE,"avaluo";#N/A,#N/A,FALSE,"fisico";#N/A,#N/A,FALSE,"rentas";#N/A,#N/A,FALSE,"deducciones";#N/A,#N/A,FALSE,"tasas";#N/A,#N/A,FALSE,"homolog";#N/A,#N/A,FALSE,"regresion";#N/A,#N/A,FALSE,"investigacion"}</definedName>
    <definedName name="asasassad" hidden="1">{#N/A,#N/A,FALSE,"avaluo";#N/A,#N/A,FALSE,"fisico";#N/A,#N/A,FALSE,"rentas";#N/A,#N/A,FALSE,"deducciones";#N/A,#N/A,FALSE,"tasas";#N/A,#N/A,FALSE,"homolog";#N/A,#N/A,FALSE,"regresion";#N/A,#N/A,FALSE,"investigacion"}</definedName>
    <definedName name="asdd" localSheetId="8" hidden="1">{#N/A,#N/A,FALSE,"AVALUO";#N/A,#N/A,FALSE,"CONDOMINIO";#N/A,#N/A,FALSE,"TDF"}</definedName>
    <definedName name="asdd" hidden="1">{#N/A,#N/A,FALSE,"AVALUO";#N/A,#N/A,FALSE,"CONDOMINIO";#N/A,#N/A,FALSE,"TDF"}</definedName>
    <definedName name="asddf" localSheetId="8" hidden="1">{#N/A,#N/A,FALSE,"AVALUO";#N/A,#N/A,FALSE,"CONDOMINIO";#N/A,#N/A,FALSE,"IGECEM"}</definedName>
    <definedName name="asddf" hidden="1">{#N/A,#N/A,FALSE,"AVALUO";#N/A,#N/A,FALSE,"CONDOMINIO";#N/A,#N/A,FALSE,"IGECEM"}</definedName>
    <definedName name="asde" localSheetId="8" hidden="1">{#N/A,#N/A,FALSE,"AVALUO";#N/A,#N/A,FALSE,"CONDOMINIO";#N/A,#N/A,FALSE,"IGECEM"}</definedName>
    <definedName name="asde" hidden="1">{#N/A,#N/A,FALSE,"AVALUO";#N/A,#N/A,FALSE,"CONDOMINIO";#N/A,#N/A,FALSE,"IGECEM"}</definedName>
    <definedName name="asdert" localSheetId="8" hidden="1">{#N/A,#N/A,FALSE,"AVALUO";#N/A,#N/A,FALSE,"CONDOMINIO";#N/A,#N/A,FALSE,"TDF"}</definedName>
    <definedName name="asdert" hidden="1">{#N/A,#N/A,FALSE,"AVALUO";#N/A,#N/A,FALSE,"CONDOMINIO";#N/A,#N/A,FALSE,"TDF"}</definedName>
    <definedName name="ASDF" localSheetId="8" hidden="1">{#N/A,#N/A,FALSE,"AVALUO";#N/A,#N/A,FALSE,"CONDOMINIO";#N/A,#N/A,FALSE,"TDF"}</definedName>
    <definedName name="ASDF" hidden="1">{#N/A,#N/A,FALSE,"AVALUO";#N/A,#N/A,FALSE,"CONDOMINIO";#N/A,#N/A,FALSE,"TDF"}</definedName>
    <definedName name="asdgfadg" localSheetId="8" hidden="1">{"TEXTO DEL AVALUO",#N/A,FALSE,"AVALUO";"CALCULOS Y DICTAMEN",#N/A,FALSE,"CONDOMINIO"}</definedName>
    <definedName name="asdgfadg" hidden="1">{"TEXTO DEL AVALUO",#N/A,FALSE,"AVALUO";"CALCULOS Y DICTAMEN",#N/A,FALSE,"CONDOMINIO"}</definedName>
    <definedName name="asdsdf" localSheetId="8" hidden="1">{#N/A,#N/A,FALSE,"avaluo";#N/A,#N/A,FALSE,"fisico";#N/A,#N/A,FALSE,"rentas";#N/A,#N/A,FALSE,"deducciones";#N/A,#N/A,FALSE,"tasas";#N/A,#N/A,FALSE,"homolog";#N/A,#N/A,FALSE,"regresion";#N/A,#N/A,FALSE,"investigacion"}</definedName>
    <definedName name="asdsdf" hidden="1">{#N/A,#N/A,FALSE,"avaluo";#N/A,#N/A,FALSE,"fisico";#N/A,#N/A,FALSE,"rentas";#N/A,#N/A,FALSE,"deducciones";#N/A,#N/A,FALSE,"tasas";#N/A,#N/A,FALSE,"homolog";#N/A,#N/A,FALSE,"regresion";#N/A,#N/A,FALSE,"investigacion"}</definedName>
    <definedName name="ASF" localSheetId="8" hidden="1">{"TEXTO DEL AVALUO",#N/A,FALSE,"AVALUO";"CALCULOS Y DICTAMEN",#N/A,FALSE,"CONDOMINIO"}</definedName>
    <definedName name="ASF" hidden="1">{"TEXTO DEL AVALUO",#N/A,FALSE,"AVALUO";"CALCULOS Y DICTAMEN",#N/A,FALSE,"CONDOMINIO"}</definedName>
    <definedName name="asfafgdgdg" localSheetId="8" hidden="1">{#N/A,#N/A,FALSE,"AVALUO";#N/A,#N/A,FALSE,"CONDOMINIO";#N/A,#N/A,FALSE,"IGECEM"}</definedName>
    <definedName name="asfafgdgdg" hidden="1">{#N/A,#N/A,FALSE,"AVALUO";#N/A,#N/A,FALSE,"CONDOMINIO";#N/A,#N/A,FALSE,"IGECEM"}</definedName>
    <definedName name="asfasfasf" localSheetId="8" hidden="1">{"TEXTO DEL AVALUO",#N/A,FALSE,"AVALUO";"CALCULOS Y DICTAMEN",#N/A,FALSE,"CONDOMINIO"}</definedName>
    <definedName name="asfasfasf" hidden="1">{"TEXTO DEL AVALUO",#N/A,FALSE,"AVALUO";"CALCULOS Y DICTAMEN",#N/A,FALSE,"CONDOMINIO"}</definedName>
    <definedName name="assd" localSheetId="8" hidden="1">{#N/A,#N/A,FALSE,"AVALUO";#N/A,#N/A,FALSE,"CONDOMINIO";#N/A,#N/A,FALSE,"IGECEM"}</definedName>
    <definedName name="assd" hidden="1">{#N/A,#N/A,FALSE,"AVALUO";#N/A,#N/A,FALSE,"CONDOMINIO";#N/A,#N/A,FALSE,"IGECEM"}</definedName>
    <definedName name="asssssssssss" localSheetId="8" hidden="1">{"AVALUO DE TEXTO",#N/A,FALSE,"AVALUO";"CALCULOS EN CONDOMINIO",#N/A,FALSE,"CONDOMINIO"}</definedName>
    <definedName name="asssssssssss" hidden="1">{"AVALUO DE TEXTO",#N/A,FALSE,"AVALUO";"CALCULOS EN CONDOMINIO",#N/A,FALSE,"CONDOMINIO"}</definedName>
    <definedName name="au" localSheetId="8" hidden="1">{"AVALUO DE TEXTO",#N/A,FALSE,"AVALUO";"CALCULOS EN CONDOMINIO",#N/A,FALSE,"CONDOMINIO"}</definedName>
    <definedName name="au" hidden="1">{"AVALUO DE TEXTO",#N/A,FALSE,"AVALUO";"CALCULOS EN CONDOMINIO",#N/A,FALSE,"CONDOMINIO"}</definedName>
    <definedName name="Avaluo" localSheetId="4" hidden="1">{"AVALUO DE TEXTO",#N/A,FALSE,"AVALUO";"CALCULOS EN CONDOMINIO",#N/A,FALSE,"CONDOMINIO"}</definedName>
    <definedName name="AVALUO" localSheetId="8" hidden="1">{#N/A,#N/A,FALSE,"AVALUO";#N/A,#N/A,FALSE,"CONDOMINIO";#N/A,#N/A,FALSE,"TDF"}</definedName>
    <definedName name="Avaluo" hidden="1">{"AVALUO DE TEXTO",#N/A,FALSE,"AVALUO";"CALCULOS EN CONDOMINIO",#N/A,FALSE,"CONDOMINIO"}</definedName>
    <definedName name="AVALUO2" localSheetId="8" hidden="1">{#N/A,#N/A,FALSE,"AVALUO";#N/A,#N/A,FALSE,"CONDOMINIO";#N/A,#N/A,FALSE,"IGECEM"}</definedName>
    <definedName name="AVALUO2" hidden="1">{#N/A,#N/A,FALSE,"AVALUO";#N/A,#N/A,FALSE,"CONDOMINIO";#N/A,#N/A,FALSE,"IGECEM"}</definedName>
    <definedName name="AVALUO3" localSheetId="8" hidden="1">{#N/A,#N/A,FALSE,"AVALUO";#N/A,#N/A,FALSE,"CONDOMINIO";#N/A,#N/A,FALSE,"TDF"}</definedName>
    <definedName name="AVALUO3" hidden="1">{#N/A,#N/A,FALSE,"AVALUO";#N/A,#N/A,FALSE,"CONDOMINIO";#N/A,#N/A,FALSE,"TDF"}</definedName>
    <definedName name="avaub3" localSheetId="8" hidden="1">{#N/A,#N/A,FALSE,"AVALUO";#N/A,#N/A,FALSE,"CONDOMINIO";#N/A,#N/A,FALSE,"IGECEM"}</definedName>
    <definedName name="avaub3" hidden="1">{#N/A,#N/A,FALSE,"AVALUO";#N/A,#N/A,FALSE,"CONDOMINIO";#N/A,#N/A,FALSE,"IGECEM"}</definedName>
    <definedName name="AVENA" hidden="1">{#N/A,#N/A,FALSE,"ESTUDIO1"}</definedName>
    <definedName name="b" localSheetId="8" hidden="1">{"TEXTO DEL AVALUO",#N/A,TRUE,"AVALUO";"CALCULOS Y DICTAMEN",#N/A,TRUE,"CONDOMINIO"}</definedName>
    <definedName name="b" hidden="1">{"TEXTO DEL AVALUO",#N/A,TRUE,"AVALUO";"CALCULOS Y DICTAMEN",#N/A,TRUE,"CONDOMINIO"}</definedName>
    <definedName name="bal" hidden="1">{#N/A,#N/A,FALSE,"DICFIN";#N/A,#N/A,FALSE,"SINTESIS";#N/A,#N/A,FALSE,"PROYFIN";#N/A,#N/A,FALSE,"DICTEC";#N/A,#N/A,FALSE,"ESTUDIO1"}</definedName>
    <definedName name="balance" hidden="1">{#N/A,#N/A,FALSE,"SINTESIS"}</definedName>
    <definedName name="balance3" hidden="1">{"TEXTO DEL AVALUO",#N/A,TRUE,"AVALUO";"CALCULOS Y DICTAMEN",#N/A,TRUE,"CONDOMINIO"}</definedName>
    <definedName name="banco" hidden="1">{"TEXTO DEL AVALUO",#N/A,TRUE,"AVALUO";"CALCULOS Y DICTAMEN",#N/A,TRUE,"CONDOMINIO"}</definedName>
    <definedName name="bas" localSheetId="8" hidden="1">{"TEXTO DEL AVALUO",#N/A,TRUE,"AVALUO";"CALCULOS Y DICTAMEN",#N/A,TRUE,"CONDOMINIO"}</definedName>
    <definedName name="bas" hidden="1">{"TEXTO DEL AVALUO",#N/A,TRUE,"AVALUO";"CALCULOS Y DICTAMEN",#N/A,TRUE,"CONDOMINIO"}</definedName>
    <definedName name="BASE" localSheetId="4" hidden="1">{"TEXTO DEL AVALUO",#N/A,TRUE,"AVALUO";"CALCULOS Y DICTAMEN",#N/A,TRUE,"CONDOMINIO"}</definedName>
    <definedName name="BASE" localSheetId="8" hidden="1">{"TEXTO DEL AVALUO",#N/A,TRUE,"AVALUO";"CALCULOS Y DICTAMEN",#N/A,TRUE,"CONDOMINIO"}</definedName>
    <definedName name="BASE" hidden="1">{"TEXTO DEL AVALUO",#N/A,TRUE,"AVALUO";"CALCULOS Y DICTAMEN",#N/A,TRUE,"CONDOMINIO"}</definedName>
    <definedName name="BASE1" localSheetId="8" hidden="1">{"TEXTO DEL AVALUO",#N/A,TRUE,"AVALUO";"CALCULOS Y DICTAMEN",#N/A,TRUE,"CONDOMINIO"}</definedName>
    <definedName name="BASE1" hidden="1">{"TEXTO DEL AVALUO",#N/A,TRUE,"AVALUO";"CALCULOS Y DICTAMEN",#N/A,TRUE,"CONDOMINIO"}</definedName>
    <definedName name="BASE2" hidden="1">{"TEXTO DEL AVALUO",#N/A,TRUE,"AVALUO";"CALCULOS Y DICTAMEN",#N/A,TRUE,"CONDOMINIO"}</definedName>
    <definedName name="BASEA" hidden="1">{"TEXTO DEL AVALUO",#N/A,TRUE,"AVALUO";"CALCULOS Y DICTAMEN",#N/A,TRUE,"CONDOMINIO"}</definedName>
    <definedName name="baseava1.xlt" localSheetId="4" hidden="1">{"TEXTO DEL AVALUO",#N/A,TRUE,"AVALUO";"CALCULOS Y DICTAMEN",#N/A,TRUE,"CONDOMINIO"}</definedName>
    <definedName name="baseava1.xlt" localSheetId="8" hidden="1">{"TEXTO DEL AVALUO",#N/A,TRUE,"AVALUO";"CALCULOS Y DICTAMEN",#N/A,TRUE,"CONDOMINIO"}</definedName>
    <definedName name="baseava1.xlt" hidden="1">{"TEXTO DEL AVALUO",#N/A,TRUE,"AVALUO";"CALCULOS Y DICTAMEN",#N/A,TRUE,"CONDOMINIO"}</definedName>
    <definedName name="bbb" hidden="1">{#N/A,#N/A,FALSE,"AVALUO";#N/A,#N/A,FALSE,"CONDOMINIO";#N/A,#N/A,FALSE,"TDF"}</definedName>
    <definedName name="BBBBBB" hidden="1">{"ANVERSO",#N/A,FALSE,"MEMBASES";"REVERSO",#N/A,FALSE,"MEMBASES"}</definedName>
    <definedName name="bdgdg" localSheetId="8" hidden="1">{#N/A,#N/A,FALSE,"AVALUO";#N/A,#N/A,FALSE,"CONDOMINIO";#N/A,#N/A,FALSE,"IGECEM"}</definedName>
    <definedName name="bdgdg" hidden="1">{#N/A,#N/A,FALSE,"AVALUO";#N/A,#N/A,FALSE,"CONDOMINIO";#N/A,#N/A,FALSE,"IGECEM"}</definedName>
    <definedName name="bello" hidden="1">{"ANVERSO",#N/A,FALSE,"MEMBASES";"REVERSO",#N/A,FALSE,"MEMBASES"}</definedName>
    <definedName name="bgf" hidden="1">{"TEXTO DEL AVALUO",#N/A,TRUE,"AVALUO";"CALCULOS Y DICTAMEN",#N/A,TRUE,"CONDOMINIO"}</definedName>
    <definedName name="bgt" hidden="1">{#N/A,#N/A,FALSE,"AVALUO";#N/A,#N/A,FALSE,"CONDOMINIO";#N/A,#N/A,FALSE,"IGECEM"}</definedName>
    <definedName name="bgyu" hidden="1">{"TEXTO DEL AVALUO",#N/A,FALSE,"AVALUO";"CALCULOS Y DICTAMEN",#N/A,FALSE,"CONDOMINIO"}</definedName>
    <definedName name="bnop" hidden="1">{#N/A,#N/A,FALSE,"AVALUO";#N/A,#N/A,FALSE,"CONDOMINIO";#N/A,#N/A,FALSE,"IGECEM"}</definedName>
    <definedName name="bse" hidden="1">{"TEXTO DEL AVALUO",#N/A,TRUE,"AVALUO";"CALCULOS Y DICTAMEN",#N/A,TRUE,"CONDOMINIO"}</definedName>
    <definedName name="bvmbmbvm" localSheetId="8" hidden="1">{"TEXTO DEL AVALUO",#N/A,FALSE,"AVALUO";"CALCULOS Y DICTAMEN",#N/A,FALSE,"CONDOMINIO"}</definedName>
    <definedName name="bvmbmbvm" hidden="1">{"TEXTO DEL AVALUO",#N/A,FALSE,"AVALUO";"CALCULOS Y DICTAMEN",#N/A,FALSE,"CONDOMINIO"}</definedName>
    <definedName name="cable" hidden="1">{#N/A,#N/A,FALSE,"AVALUO";#N/A,#N/A,FALSE,"CONDOMINIO";#N/A,#N/A,FALSE,"TDF"}</definedName>
    <definedName name="CANO" localSheetId="8" hidden="1">{#N/A,#N/A,FALSE,"AVALUO";#N/A,#N/A,FALSE,"CONDOMINIO";#N/A,#N/A,FALSE,"IGECEM"}</definedName>
    <definedName name="CANO" hidden="1">{#N/A,#N/A,FALSE,"AVALUO";#N/A,#N/A,FALSE,"CONDOMINIO";#N/A,#N/A,FALSE,"IGECEM"}</definedName>
    <definedName name="CAPITALI" hidden="1">{#N/A,#N/A,FALSE,"AVALUO";#N/A,#N/A,FALSE,"CONDOMINIO";#N/A,#N/A,FALSE,"IGECEM"}</definedName>
    <definedName name="carat" localSheetId="8" hidden="1">{#N/A,#N/A,FALSE,"AVALUO";#N/A,#N/A,FALSE,"CONDOMINIO";#N/A,#N/A,FALSE,"TDF"}</definedName>
    <definedName name="carat" hidden="1">{#N/A,#N/A,FALSE,"AVALUO";#N/A,#N/A,FALSE,"CONDOMINIO";#N/A,#N/A,FALSE,"TDF"}</definedName>
    <definedName name="Carta" hidden="1">{"TEXTO DEL AVALUO",#N/A,TRUE,"AVALUO";"CALCULOS Y DICTAMEN",#N/A,TRUE,"CONDOMINIO"}</definedName>
    <definedName name="cas" hidden="1">{#N/A,#N/A,FALSE,"AVALUO";#N/A,#N/A,FALSE,"CONDOMINIO";#N/A,#N/A,FALSE,"TDF"}</definedName>
    <definedName name="casi" hidden="1">{"ANVERSO",#N/A,FALSE,"MEMBASES";"REVERSO",#N/A,FALSE,"MEMBASES"}</definedName>
    <definedName name="cbv" hidden="1">{#N/A,#N/A,FALSE,"AVALUO";#N/A,#N/A,FALSE,"CONDOMINIO";#N/A,#N/A,FALSE,"IGECEM"}</definedName>
    <definedName name="ccvncvncv" localSheetId="8" hidden="1">{"TEXTO DEL AVALUO",#N/A,TRUE,"AVALUO";"CALCULOS Y DICTAMEN",#N/A,TRUE,"CONDOMINIO"}</definedName>
    <definedName name="ccvncvncv" hidden="1">{"TEXTO DEL AVALUO",#N/A,TRUE,"AVALUO";"CALCULOS Y DICTAMEN",#N/A,TRUE,"CONDOMINIO"}</definedName>
    <definedName name="CD" localSheetId="8" hidden="1">{"ANVERSO",#N/A,FALSE,"MEMBASES";"REVERSO",#N/A,FALSE,"MEMBASES"}</definedName>
    <definedName name="CD" hidden="1">{"ANVERSO",#N/A,FALSE,"MEMBASES";"REVERSO",#N/A,FALSE,"MEMBASES"}</definedName>
    <definedName name="cddd" localSheetId="8" hidden="1">{#N/A,#N/A,FALSE,"AVALUO";#N/A,#N/A,FALSE,"CONDOMINIO";#N/A,#N/A,FALSE,"IGECEM"}</definedName>
    <definedName name="cddd" hidden="1">{#N/A,#N/A,FALSE,"AVALUO";#N/A,#N/A,FALSE,"CONDOMINIO";#N/A,#N/A,FALSE,"IGECEM"}</definedName>
    <definedName name="ced" hidden="1">{"TEXTO DEL AVALUO",#N/A,TRUE,"AVALUO";"CALCULOS Y DICTAMEN",#N/A,TRUE,"CONDOMINIO"}</definedName>
    <definedName name="cedu.xls" hidden="1">{#N/A,#N/A,FALSE,"DICFIN";#N/A,#N/A,FALSE,"SINTESIS";#N/A,#N/A,FALSE,"PROYFIN";#N/A,#N/A,FALSE,"DICTEC";#N/A,#N/A,FALSE,"ESTUDIO1"}</definedName>
    <definedName name="CEDULA" localSheetId="8" hidden="1">{#N/A,#N/A,FALSE,"AVALUO";#N/A,#N/A,FALSE,"CONDOMINIO";#N/A,#N/A,FALSE,"TDF"}</definedName>
    <definedName name="CEDULA" hidden="1">{#N/A,#N/A,FALSE,"AVALUO";#N/A,#N/A,FALSE,"CONDOMINIO";#N/A,#N/A,FALSE,"TDF"}</definedName>
    <definedName name="cedula.xls" hidden="1">{#N/A,#N/A,FALSE,"PROYFIN"}</definedName>
    <definedName name="CEDULAESTAC" localSheetId="8" hidden="1">{#N/A,#N/A,FALSE,"AVALUO";#N/A,#N/A,FALSE,"CONDOMINIO";#N/A,#N/A,FALSE,"IGECEM"}</definedName>
    <definedName name="CEDULAESTAC" hidden="1">{#N/A,#N/A,FALSE,"AVALUO";#N/A,#N/A,FALSE,"CONDOMINIO";#N/A,#N/A,FALSE,"IGECEM"}</definedName>
    <definedName name="CENTENAS" localSheetId="4" hidden="1">#REF!</definedName>
    <definedName name="CENTENAS" hidden="1">#REF!</definedName>
    <definedName name="chuy" hidden="1">{#N/A,#N/A,FALSE,"AVALUO";#N/A,#N/A,FALSE,"CONDOMINIO";#N/A,#N/A,FALSE,"TDF"}</definedName>
    <definedName name="CINCO" hidden="1">{#N/A,#N/A,FALSE,"AVALUO";#N/A,#N/A,FALSE,"CONDOMINIO";#N/A,#N/A,FALSE,"IGECEM"}</definedName>
    <definedName name="ciudad" hidden="1">{#N/A,#N/A,FALSE,"AVALUO";#N/A,#N/A,FALSE,"CONDOMINIO";#N/A,#N/A,FALSE,"TDF"}</definedName>
    <definedName name="CLARIE" hidden="1">{#N/A,#N/A,FALSE,"AVALUO";#N/A,#N/A,FALSE,"CONDOMINIO";#N/A,#N/A,FALSE,"IGECEM"}</definedName>
    <definedName name="colima" hidden="1">{"TEXTO DEL AVALUO",#N/A,FALSE,"AVALUO";"CALCULOS Y DICTAMEN",#N/A,FALSE,"CONDOMINIO"}</definedName>
    <definedName name="CONCOMINIO" localSheetId="4" hidden="1">{#N/A,#N/A,FALSE,"AVALUO";#N/A,#N/A,FALSE,"CONDOMINIO";#N/A,#N/A,FALSE,"IGECEM"}</definedName>
    <definedName name="CONCOMINIO" localSheetId="8" hidden="1">{#N/A,#N/A,FALSE,"AVALUO";#N/A,#N/A,FALSE,"CONDOMINIO";#N/A,#N/A,FALSE,"IGECEM"}</definedName>
    <definedName name="CONCOMINIO" hidden="1">{#N/A,#N/A,FALSE,"AVALUO";#N/A,#N/A,FALSE,"CONDOMINIO";#N/A,#N/A,FALSE,"IGECEM"}</definedName>
    <definedName name="CONCOMINIO2" hidden="1">{#N/A,#N/A,FALSE,"AVALUO";#N/A,#N/A,FALSE,"CONDOMINIO";#N/A,#N/A,FALSE,"IGECEM"}</definedName>
    <definedName name="CONCONIO" localSheetId="8" hidden="1">{#N/A,#N/A,FALSE,"AVALUO";#N/A,#N/A,FALSE,"CONDOMINIO";#N/A,#N/A,FALSE,"IGECEM"}</definedName>
    <definedName name="CONCONIO" hidden="1">{#N/A,#N/A,FALSE,"AVALUO";#N/A,#N/A,FALSE,"CONDOMINIO";#N/A,#N/A,FALSE,"IGECEM"}</definedName>
    <definedName name="COND" hidden="1">{"TEXTO DEL AVALUO",#N/A,FALSE,"AVALUO";"CALCULOS Y DICTAMEN",#N/A,FALSE,"CONDOMINIO"}</definedName>
    <definedName name="condom12" localSheetId="4" hidden="1">{"TEXTO DEL AVALUO",#N/A,FALSE,"AVALUO";"CALCULOS Y DICTAMEN",#N/A,FALSE,"CONDOMINIO"}</definedName>
    <definedName name="condom12" localSheetId="8" hidden="1">{"TEXTO DEL AVALUO",#N/A,FALSE,"AVALUO";"CALCULOS Y DICTAMEN",#N/A,FALSE,"CONDOMINIO"}</definedName>
    <definedName name="condom12" hidden="1">{"TEXTO DEL AVALUO",#N/A,FALSE,"AVALUO";"CALCULOS Y DICTAMEN",#N/A,FALSE,"CONDOMINIO"}</definedName>
    <definedName name="COPIA" hidden="1">{#N/A,#N/A,FALSE,"SINTESIS"}</definedName>
    <definedName name="CREDITO" hidden="1">{"TEXTO DEL AVALUO",#N/A,TRUE,"AVALUO";"CALCULOS Y DICTAMEN",#N/A,TRUE,"CONDOMINIO"}</definedName>
    <definedName name="CRÉDITOS" hidden="1">{"TEXTO DEL AVALUO",#N/A,TRUE,"AVALUO";"CALCULOS Y DICTAMEN",#N/A,TRUE,"CONDOMINIO"}</definedName>
    <definedName name="croquis1" hidden="1">{#N/A,#N/A,FALSE,"AVALUO";#N/A,#N/A,FALSE,"CONDOMINIO";#N/A,#N/A,FALSE,"TDF"}</definedName>
    <definedName name="CUATRO" hidden="1">{#N/A,#N/A,FALSE,"AVALUO";#N/A,#N/A,FALSE,"CONDOMINIO";#N/A,#N/A,FALSE,"IGECEM"}</definedName>
    <definedName name="CV" localSheetId="8" hidden="1">{"TEXTO DEL AVALUO",#N/A,FALSE,"AVALUO";"CALCULOS Y DICTAMEN",#N/A,FALSE,"CONDOMINIO"}</definedName>
    <definedName name="CV" hidden="1">{"TEXTO DEL AVALUO",#N/A,FALSE,"AVALUO";"CALCULOS Y DICTAMEN",#N/A,FALSE,"CONDOMINIO"}</definedName>
    <definedName name="CVB" localSheetId="8" hidden="1">{"TEXTO DEL AVALUO",#N/A,TRUE,"AVALUO";"CALCULOS Y DICTAMEN",#N/A,TRUE,"CONDOMINIO"}</definedName>
    <definedName name="CVB" hidden="1">{"TEXTO DEL AVALUO",#N/A,TRUE,"AVALUO";"CALCULOS Y DICTAMEN",#N/A,TRUE,"CONDOMINIO"}</definedName>
    <definedName name="CVCVCCVC" localSheetId="8" hidden="1">{#N/A,#N/A,FALSE,"AVALUO";#N/A,#N/A,FALSE,"CONDOMINIO";#N/A,#N/A,FALSE,"IGECEM"}</definedName>
    <definedName name="CVCVCCVC" hidden="1">{#N/A,#N/A,FALSE,"AVALUO";#N/A,#N/A,FALSE,"CONDOMINIO";#N/A,#N/A,FALSE,"IGECEM"}</definedName>
    <definedName name="cvdcd" localSheetId="8" hidden="1">{#N/A,#N/A,FALSE,"AVALUO";#N/A,#N/A,FALSE,"CONDOMINIO";#N/A,#N/A,FALSE,"IGECEM"}</definedName>
    <definedName name="cvdcd" hidden="1">{#N/A,#N/A,FALSE,"AVALUO";#N/A,#N/A,FALSE,"CONDOMINIO";#N/A,#N/A,FALSE,"IGECEM"}</definedName>
    <definedName name="CVN" localSheetId="8" hidden="1">{#N/A,#N/A,FALSE,"AVALUO";#N/A,#N/A,FALSE,"CONDOMINIO";#N/A,#N/A,FALSE,"TDF"}</definedName>
    <definedName name="CVN" hidden="1">{#N/A,#N/A,FALSE,"AVALUO";#N/A,#N/A,FALSE,"CONDOMINIO";#N/A,#N/A,FALSE,"TDF"}</definedName>
    <definedName name="cvnvcn" localSheetId="8" hidden="1">{"TEXTO DEL AVALUO",#N/A,TRUE,"AVALUO";"CALCULOS Y DICTAMEN",#N/A,TRUE,"CONDOMINIO"}</definedName>
    <definedName name="cvnvcn" hidden="1">{"TEXTO DEL AVALUO",#N/A,TRUE,"AVALUO";"CALCULOS Y DICTAMEN",#N/A,TRUE,"CONDOMINIO"}</definedName>
    <definedName name="cvvv" localSheetId="8" hidden="1">{"TEXTO DEL AVALUO",#N/A,FALSE,"AVALUO";"CALCULOS Y DICTAMEN",#N/A,FALSE,"CONDOMINIO"}</definedName>
    <definedName name="cvvv" hidden="1">{"TEXTO DEL AVALUO",#N/A,FALSE,"AVALUO";"CALCULOS Y DICTAMEN",#N/A,FALSE,"CONDOMINIO"}</definedName>
    <definedName name="d" localSheetId="8" hidden="1">{"TEXTO DEL AVALUO",#N/A,FALSE,"AVALUO";"CALCULOS Y DICTAMEN",#N/A,FALSE,"CONDOMINIO"}</definedName>
    <definedName name="d" hidden="1">{"TEXTO DEL AVALUO",#N/A,FALSE,"AVALUO";"CALCULOS Y DICTAMEN",#N/A,FALSE,"CONDOMINIO"}</definedName>
    <definedName name="DAD" hidden="1">{#N/A,#N/A,FALSE,"AVALUO";#N/A,#N/A,FALSE,"CONDOMINIO";#N/A,#N/A,FALSE,"TDF"}</definedName>
    <definedName name="DADF" hidden="1">{"TEXTO DEL AVALUO",#N/A,FALSE,"AVALUO";"CALCULOS Y DICTAMEN",#N/A,FALSE,"CONDOMINIO"}</definedName>
    <definedName name="daniel" hidden="1">{#N/A,#N/A,FALSE,"AVALUO";#N/A,#N/A,FALSE,"CONDOMINIO";#N/A,#N/A,FALSE,"TDF"}</definedName>
    <definedName name="dddd" localSheetId="8" hidden="1">{#N/A,#N/A,FALSE,"AVALUO";#N/A,#N/A,FALSE,"CONDOMINIO";#N/A,#N/A,FALSE,"TDF"}</definedName>
    <definedName name="dddd" hidden="1">{#N/A,#N/A,FALSE,"AVALUO";#N/A,#N/A,FALSE,"CONDOMINIO";#N/A,#N/A,FALSE,"TDF"}</definedName>
    <definedName name="DDDDDDDDDDDDDD" hidden="1">{"TEXTO DEL AVALUO",#N/A,TRUE,"AVALUO";"CALCULOS Y DICTAMEN",#N/A,TRUE,"CONDOMINIO"}</definedName>
    <definedName name="DEC" localSheetId="4" hidden="1">#REF!</definedName>
    <definedName name="DEC" hidden="1">#REF!</definedName>
    <definedName name="DECENAS" localSheetId="4" hidden="1">#REF!</definedName>
    <definedName name="DECENAS" hidden="1">#REF!</definedName>
    <definedName name="DEDU" localSheetId="4" hidden="1">#REF!</definedName>
    <definedName name="DEDU" localSheetId="8" hidden="1">#REF!</definedName>
    <definedName name="DEDU" hidden="1">#REF!</definedName>
    <definedName name="DEDUC" localSheetId="4" hidden="1">#REF!</definedName>
    <definedName name="DEDUC" localSheetId="8" hidden="1">#REF!</definedName>
    <definedName name="DEDUC" hidden="1">#REF!</definedName>
    <definedName name="DEFRTG" localSheetId="8" hidden="1">{"TEXTO DEL AVALUO",#N/A,TRUE,"AVALUO";"CALCULOS Y DICTAMEN",#N/A,TRUE,"CONDOMINIO"}</definedName>
    <definedName name="DEFRTG" hidden="1">{"TEXTO DEL AVALUO",#N/A,TRUE,"AVALUO";"CALCULOS Y DICTAMEN",#N/A,TRUE,"CONDOMINIO"}</definedName>
    <definedName name="demo" localSheetId="8" hidden="1">{#N/A,#N/A,FALSE,"AVALUO";#N/A,#N/A,FALSE,"CONDOMINIO";#N/A,#N/A,FALSE,"IGECEM"}</definedName>
    <definedName name="demo" hidden="1">{#N/A,#N/A,FALSE,"AVALUO";#N/A,#N/A,FALSE,"CONDOMINIO";#N/A,#N/A,FALSE,"IGECEM"}</definedName>
    <definedName name="dert" localSheetId="8" hidden="1">{#N/A,#N/A,FALSE,"AVALUO";#N/A,#N/A,FALSE,"CONDOMINIO";#N/A,#N/A,FALSE,"IGECEM"}</definedName>
    <definedName name="dert" hidden="1">{#N/A,#N/A,FALSE,"AVALUO";#N/A,#N/A,FALSE,"CONDOMINIO";#N/A,#N/A,FALSE,"IGECEM"}</definedName>
    <definedName name="dest" hidden="1">{"ANVERSO",#N/A,FALSE,"MEMBASES";"REVERSO",#N/A,FALSE,"MEMBASES"}</definedName>
    <definedName name="DF" hidden="1">{"ANVERSO",#N/A,FALSE,"MEMBASES";"REVERSO",#N/A,FALSE,"MEMBASES"}</definedName>
    <definedName name="dfg" hidden="1">{#N/A,#N/A,FALSE,"AVALUO";#N/A,#N/A,FALSE,"CONDOMINIO";#N/A,#N/A,FALSE,"IGECEM"}</definedName>
    <definedName name="dfgb" hidden="1">{"TEXTO DEL AVALUO",#N/A,TRUE,"AVALUO";"CALCULOS Y DICTAMEN",#N/A,TRUE,"CONDOMINIO"}</definedName>
    <definedName name="dfhdfhfh" localSheetId="8" hidden="1">{#N/A,#N/A,FALSE,"AVALUO";#N/A,#N/A,FALSE,"CONDOMINIO";#N/A,#N/A,FALSE,"TDF"}</definedName>
    <definedName name="dfhdfhfh" hidden="1">{#N/A,#N/A,FALSE,"AVALUO";#N/A,#N/A,FALSE,"CONDOMINIO";#N/A,#N/A,FALSE,"TDF"}</definedName>
    <definedName name="dfhdfhfhfh" localSheetId="8" hidden="1">{"ANVERSO",#N/A,FALSE,"MEMBASES";"REVERSO",#N/A,FALSE,"MEMBASES"}</definedName>
    <definedName name="dfhdfhfhfh" hidden="1">{"ANVERSO",#N/A,FALSE,"MEMBASES";"REVERSO",#N/A,FALSE,"MEMBASES"}</definedName>
    <definedName name="DFHN" localSheetId="8" hidden="1">{"TEXTO DEL AVALUO",#N/A,TRUE,"AVALUO";"CALCULOS Y DICTAMEN",#N/A,TRUE,"CONDOMINIO"}</definedName>
    <definedName name="DFHN" hidden="1">{"TEXTO DEL AVALUO",#N/A,TRUE,"AVALUO";"CALCULOS Y DICTAMEN",#N/A,TRUE,"CONDOMINIO"}</definedName>
    <definedName name="dfhrt6juryi" localSheetId="8" hidden="1">{"AVALUO DE TEXTO",#N/A,FALSE,"AVALUO";"CALCULOS EN CONDOMINIO",#N/A,FALSE,"CONDOMINIO"}</definedName>
    <definedName name="dfhrt6juryi" hidden="1">{"AVALUO DE TEXTO",#N/A,FALSE,"AVALUO";"CALCULOS EN CONDOMINIO",#N/A,FALSE,"CONDOMINIO"}</definedName>
    <definedName name="dfrt" localSheetId="8" hidden="1">{#N/A,#N/A,FALSE,"AVALUO";#N/A,#N/A,FALSE,"CONDOMINIO";#N/A,#N/A,FALSE,"IGECEM"}</definedName>
    <definedName name="dfrt" hidden="1">{#N/A,#N/A,FALSE,"AVALUO";#N/A,#N/A,FALSE,"CONDOMINIO";#N/A,#N/A,FALSE,"IGECEM"}</definedName>
    <definedName name="DFWEFSD" hidden="1">{"AVALUO DE TEXTO",#N/A,FALSE,"AVALUO";"CALCULOS EN CONDOMINIO",#N/A,FALSE,"CONDOMINIO"}</definedName>
    <definedName name="DGN" localSheetId="8" hidden="1">{"AVALUO DE TEXTO",#N/A,FALSE,"AVALUO";"CALCULOS EN CONDOMINIO",#N/A,FALSE,"CONDOMINIO"}</definedName>
    <definedName name="DGN" hidden="1">{"AVALUO DE TEXTO",#N/A,FALSE,"AVALUO";"CALCULOS EN CONDOMINIO",#N/A,FALSE,"CONDOMINIO"}</definedName>
    <definedName name="dhy" hidden="1">{"AVALUO DE TEXTO",#N/A,FALSE,"AVALUO";"CALCULOS EN CONDOMINIO",#N/A,FALSE,"CONDOMINIO"}</definedName>
    <definedName name="dIC" localSheetId="8" hidden="1">{"'Hoja1'!$B$6:$H$6"}</definedName>
    <definedName name="dIC" hidden="1">{"'Hoja1'!$B$6:$H$6"}</definedName>
    <definedName name="DICTAMEN" localSheetId="8" hidden="1">{#N/A,#N/A,FALSE,"AVALUO";#N/A,#N/A,FALSE,"CONDOMINIO";#N/A,#N/A,FALSE,"TDF"}</definedName>
    <definedName name="DICTAMEN" hidden="1">{#N/A,#N/A,FALSE,"AVALUO";#N/A,#N/A,FALSE,"CONDOMINIO";#N/A,#N/A,FALSE,"TDF"}</definedName>
    <definedName name="dier" hidden="1">{"TEXTO DEL AVALUO",#N/A,FALSE,"AVALUO";"CALCULOS Y DICTAMEN",#N/A,FALSE,"CONDOMINIO"}</definedName>
    <definedName name="DIEZ" hidden="1">{"ANVERSO",#N/A,FALSE,"MEMBASES";"REVERSO",#N/A,FALSE,"MEMBASES"}</definedName>
    <definedName name="dirt" hidden="1">{#N/A,#N/A,FALSE,"AVALUO";#N/A,#N/A,FALSE,"CONDOMINIO";#N/A,#N/A,FALSE,"IGECEM"}</definedName>
    <definedName name="dker" hidden="1">{"TEXTO DEL AVALUO",#N/A,TRUE,"AVALUO";"CALCULOS Y DICTAMEN",#N/A,TRUE,"CONDOMINIO"}</definedName>
    <definedName name="DOCE" hidden="1">{"TEXTO DEL AVALUO",#N/A,TRUE,"AVALUO";"CALCULOS Y DICTAMEN",#N/A,TRUE,"CONDOMINIO"}</definedName>
    <definedName name="drft" localSheetId="8" hidden="1">{#N/A,#N/A,FALSE,"AVALUO";#N/A,#N/A,FALSE,"CONDOMINIO";#N/A,#N/A,FALSE,"TDF"}</definedName>
    <definedName name="drft" hidden="1">{#N/A,#N/A,FALSE,"AVALUO";#N/A,#N/A,FALSE,"CONDOMINIO";#N/A,#N/A,FALSE,"TDF"}</definedName>
    <definedName name="DSC" localSheetId="8" hidden="1">{"TEXTO DEL AVALUO",#N/A,TRUE,"AVALUO";"CALCULOS Y DICTAMEN",#N/A,TRUE,"CONDOMINIO"}</definedName>
    <definedName name="DSC" hidden="1">{"TEXTO DEL AVALUO",#N/A,TRUE,"AVALUO";"CALCULOS Y DICTAMEN",#N/A,TRUE,"CONDOMINIO"}</definedName>
    <definedName name="DSGEEGS" localSheetId="8" hidden="1">{"TEXTO DEL AVALUO",#N/A,TRUE,"AVALUO";"CALCULOS Y DICTAMEN",#N/A,TRUE,"CONDOMINIO"}</definedName>
    <definedName name="DSGEEGS" hidden="1">{"TEXTO DEL AVALUO",#N/A,TRUE,"AVALUO";"CALCULOS Y DICTAMEN",#N/A,TRUE,"CONDOMINIO"}</definedName>
    <definedName name="dss" localSheetId="8" hidden="1">{#N/A,#N/A,FALSE,"AVALUO";#N/A,#N/A,FALSE,"CONDOMINIO";#N/A,#N/A,FALSE,"TDF"}</definedName>
    <definedName name="dss" hidden="1">{#N/A,#N/A,FALSE,"AVALUO";#N/A,#N/A,FALSE,"CONDOMINIO";#N/A,#N/A,FALSE,"TDF"}</definedName>
    <definedName name="duer" hidden="1">{#N/A,#N/A,FALSE,"AVALUO";#N/A,#N/A,FALSE,"CONDOMINIO";#N/A,#N/A,FALSE,"TDF"}</definedName>
    <definedName name="E" hidden="1">{"TEXTO DEL AVALUO",#N/A,FALSE,"AVALUO";"CALCULOS Y DICTAMEN",#N/A,FALSE,"CONDOMINIO"}</definedName>
    <definedName name="ed" localSheetId="8" hidden="1">{#N/A,#N/A,FALSE,"AVALUO";#N/A,#N/A,FALSE,"CONDOMINIO";#N/A,#N/A,FALSE,"TDF"}</definedName>
    <definedName name="ed" hidden="1">{#N/A,#N/A,FALSE,"AVALUO";#N/A,#N/A,FALSE,"CONDOMINIO";#N/A,#N/A,FALSE,"TDF"}</definedName>
    <definedName name="edu" hidden="1">{#N/A,#N/A,FALSE,"AVALUO";#N/A,#N/A,FALSE,"CONDOMINIO";#N/A,#N/A,FALSE,"TDF"}</definedName>
    <definedName name="eduar" hidden="1">{#N/A,#N/A,FALSE,"AVALUO";#N/A,#N/A,FALSE,"CONDOMINIO";#N/A,#N/A,FALSE,"TDF"}</definedName>
    <definedName name="eduard" hidden="1">{#N/A,#N/A,FALSE,"AVALUO";#N/A,#N/A,FALSE,"CONDOMINIO";#N/A,#N/A,FALSE,"IGECEM"}</definedName>
    <definedName name="eduardo" hidden="1">{#N/A,#N/A,FALSE,"AVALUO";#N/A,#N/A,FALSE,"CONDOMINIO";#N/A,#N/A,FALSE,"TDF"}</definedName>
    <definedName name="ee" hidden="1">{"TEXTO DEL AVALUO",#N/A,FALSE,"AVALUO";"CALCULOS Y DICTAMEN",#N/A,FALSE,"CONDOMINIO"}</definedName>
    <definedName name="eee" hidden="1">#REF!</definedName>
    <definedName name="eee.xls" hidden="1">{#N/A,#N/A,FALSE,"DICFIN";#N/A,#N/A,FALSE,"SINTESIS";#N/A,#N/A,FALSE,"PROYFIN";#N/A,#N/A,FALSE,"DICTEC";#N/A,#N/A,FALSE,"ESTUDIO1"}</definedName>
    <definedName name="eeeee" localSheetId="8" hidden="1">{"TEXTO DEL AVALUO",#N/A,TRUE,"AVALUO";"CALCULOS Y DICTAMEN",#N/A,TRUE,"CONDOMINIO"}</definedName>
    <definedName name="eeeee" hidden="1">{"TEXTO DEL AVALUO",#N/A,TRUE,"AVALUO";"CALCULOS Y DICTAMEN",#N/A,TRUE,"CONDOMINIO"}</definedName>
    <definedName name="EEEEEE" hidden="1">{#N/A,#N/A,FALSE,"DICFIN"}</definedName>
    <definedName name="ef" localSheetId="8" hidden="1">{#N/A,#N/A,FALSE,"AVALUO";#N/A,#N/A,FALSE,"CONDOMINIO";#N/A,#N/A,FALSE,"IGECEM"}</definedName>
    <definedName name="ef" hidden="1">{#N/A,#N/A,FALSE,"AVALUO";#N/A,#N/A,FALSE,"CONDOMINIO";#N/A,#N/A,FALSE,"IGECEM"}</definedName>
    <definedName name="efrt" localSheetId="8" hidden="1">{#N/A,#N/A,FALSE,"AVALUO";#N/A,#N/A,FALSE,"CONDOMINIO";#N/A,#N/A,FALSE,"TDF"}</definedName>
    <definedName name="efrt" hidden="1">{#N/A,#N/A,FALSE,"AVALUO";#N/A,#N/A,FALSE,"CONDOMINIO";#N/A,#N/A,FALSE,"TDF"}</definedName>
    <definedName name="EG" localSheetId="8" hidden="1">{#N/A,#N/A,FALSE,"AVALUO";#N/A,#N/A,FALSE,"CONDOMINIO";#N/A,#N/A,FALSE,"TDF"}</definedName>
    <definedName name="EG" hidden="1">{#N/A,#N/A,FALSE,"AVALUO";#N/A,#N/A,FALSE,"CONDOMINIO";#N/A,#N/A,FALSE,"TDF"}</definedName>
    <definedName name="ER" localSheetId="8" hidden="1">{"AVALUO DE TEXTO",#N/A,FALSE,"AVALUO";"CALCULOS EN CONDOMINIO",#N/A,FALSE,"CONDOMINIO"}</definedName>
    <definedName name="ER" hidden="1">{"AVALUO DE TEXTO",#N/A,FALSE,"AVALUO";"CALCULOS EN CONDOMINIO",#N/A,FALSE,"CONDOMINIO"}</definedName>
    <definedName name="errrrrrrrrrrrrrrr" localSheetId="8" hidden="1">{#N/A,#N/A,FALSE,"AVALUO";#N/A,#N/A,FALSE,"CONDOMINIO";#N/A,#N/A,FALSE,"TDF"}</definedName>
    <definedName name="errrrrrrrrrrrrrrr" hidden="1">{#N/A,#N/A,FALSE,"AVALUO";#N/A,#N/A,FALSE,"CONDOMINIO";#N/A,#N/A,FALSE,"TDF"}</definedName>
    <definedName name="ert" hidden="1">{#N/A,#N/A,FALSE,"AVALUO";#N/A,#N/A,FALSE,"CONDOMINIO";#N/A,#N/A,FALSE,"TDF"}</definedName>
    <definedName name="eru" hidden="1">{#N/A,#N/A,FALSE,"AVALUO";#N/A,#N/A,FALSE,"CONDOMINIO";#N/A,#N/A,FALSE,"TDF"}</definedName>
    <definedName name="erubiel" hidden="1">{#N/A,#N/A,FALSE,"AVALUO";#N/A,#N/A,FALSE,"CONDOMINIO";#N/A,#N/A,FALSE,"TDF"}</definedName>
    <definedName name="esz" hidden="1">{#N/A,#N/A,FALSE,"AVALUO";#N/A,#N/A,FALSE,"CONDOMINIO";#N/A,#N/A,FALSE,"TDF"}</definedName>
    <definedName name="etyeety" hidden="1">{#N/A,#N/A,FALSE,"AVALUO";#N/A,#N/A,FALSE,"CONDOMINIO";#N/A,#N/A,FALSE,"IGECEM"}</definedName>
    <definedName name="etyey" hidden="1">{"AVALUO DE TEXTO",#N/A,FALSE,"AVALUO";"CALCULOS EN CONDOMINIO",#N/A,FALSE,"CONDOMINIO"}</definedName>
    <definedName name="EV__LASTREFTIME__" hidden="1">38867.6523958333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"development"</definedName>
    <definedName name="ewq" hidden="1">{"TEXTO DEL AVALUO",#N/A,TRUE,"AVALUO";"CALCULOS Y DICTAMEN",#N/A,TRUE,"CONDOMINIO"}</definedName>
    <definedName name="eyeryeyryryeryer" localSheetId="8" hidden="1">{"ANVERSO",#N/A,FALSE,"MEMBASES";"REVERSO",#N/A,FALSE,"MEMBASES"}</definedName>
    <definedName name="eyeryeyryryeryer" hidden="1">{"ANVERSO",#N/A,FALSE,"MEMBASES";"REVERSO",#N/A,FALSE,"MEMBASES"}</definedName>
    <definedName name="F.CAJA" localSheetId="8" hidden="1">{#N/A,#N/A,FALSE,"AVALUO";#N/A,#N/A,FALSE,"CONDOMINIO";#N/A,#N/A,FALSE,"TDF"}</definedName>
    <definedName name="F.CAJA" hidden="1">{#N/A,#N/A,FALSE,"AVALUO";#N/A,#N/A,FALSE,"CONDOMINIO";#N/A,#N/A,FALSE,"TDF"}</definedName>
    <definedName name="F.INV" localSheetId="8" hidden="1">{"TEXTO DEL AVALUO",#N/A,FALSE,"AVALUO";"CALCULOS Y DICTAMEN",#N/A,FALSE,"CONDOMINIO"}</definedName>
    <definedName name="F.INV" hidden="1">{"TEXTO DEL AVALUO",#N/A,FALSE,"AVALUO";"CALCULOS Y DICTAMEN",#N/A,FALSE,"CONDOMINIO"}</definedName>
    <definedName name="fases" hidden="1">{#N/A,#N/A,FALSE,"AVALUO";#N/A,#N/A,FALSE,"CONDOMINIO";#N/A,#N/A,FALSE,"TDF"}</definedName>
    <definedName name="FB" localSheetId="8" hidden="1">{"TEXTO DEL AVALUO",#N/A,FALSE,"AVALUO";"CALCULOS Y DICTAMEN",#N/A,FALSE,"CONDOMINIO"}</definedName>
    <definedName name="FB" hidden="1">{"TEXTO DEL AVALUO",#N/A,FALSE,"AVALUO";"CALCULOS Y DICTAMEN",#N/A,FALSE,"CONDOMINIO"}</definedName>
    <definedName name="FDFADFA" hidden="1">{#N/A,#N/A,FALSE,"AVALUO";#N/A,#N/A,FALSE,"CONDOMINIO";#N/A,#N/A,FALSE,"TDF"}</definedName>
    <definedName name="FDH" localSheetId="8" hidden="1">{"TEXTO DEL AVALUO",#N/A,TRUE,"AVALUO";"CALCULOS Y DICTAMEN",#N/A,TRUE,"CONDOMINIO"}</definedName>
    <definedName name="FDH" hidden="1">{"TEXTO DEL AVALUO",#N/A,TRUE,"AVALUO";"CALCULOS Y DICTAMEN",#N/A,TRUE,"CONDOMINIO"}</definedName>
    <definedName name="fdsdfsdfsd" localSheetId="8" hidden="1">{"TEXTO DEL AVALUO",#N/A,TRUE,"AVALUO";"CALCULOS Y DICTAMEN",#N/A,TRUE,"CONDOMINIO"}</definedName>
    <definedName name="fdsdfsdfsd" hidden="1">{"TEXTO DEL AVALUO",#N/A,TRUE,"AVALUO";"CALCULOS Y DICTAMEN",#N/A,TRUE,"CONDOMINIO"}</definedName>
    <definedName name="fe" hidden="1">{#N/A,#N/A,FALSE,"AVALUO";#N/A,#N/A,FALSE,"CONDOMINIO";#N/A,#N/A,FALSE,"TDF"}</definedName>
    <definedName name="feo" hidden="1">{#N/A,#N/A,FALSE,"AVALUO";#N/A,#N/A,FALSE,"CONDOMINIO";#N/A,#N/A,FALSE,"TDF"}</definedName>
    <definedName name="feqf" localSheetId="8" hidden="1">{"TEXTO DEL AVALUO",#N/A,TRUE,"AVALUO";"CALCULOS Y DICTAMEN",#N/A,TRUE,"CONDOMINIO"}</definedName>
    <definedName name="feqf" hidden="1">{"TEXTO DEL AVALUO",#N/A,TRUE,"AVALUO";"CALCULOS Y DICTAMEN",#N/A,TRUE,"CONDOMINIO"}</definedName>
    <definedName name="fff" localSheetId="8" hidden="1">{"TEXTO DEL AVALUO",#N/A,TRUE,"AVALUO";"CALCULOS Y DICTAMEN",#N/A,TRUE,"CONDOMINIO"}</definedName>
    <definedName name="fff" hidden="1">{"TEXTO DEL AVALUO",#N/A,TRUE,"AVALUO";"CALCULOS Y DICTAMEN",#N/A,TRUE,"CONDOMINIO"}</definedName>
    <definedName name="FFFFFFFF" hidden="1">{#N/A,#N/A,FALSE,"AVALUO";#N/A,#N/A,FALSE,"CONDOMINIO";#N/A,#N/A,FALSE,"TDF"}</definedName>
    <definedName name="ffffffffff" localSheetId="8" hidden="1">{"ANVERSO",#N/A,FALSE,"MEMBASES";"REVERSO",#N/A,FALSE,"MEMBASES"}</definedName>
    <definedName name="ffffffffff" hidden="1">{"ANVERSO",#N/A,FALSE,"MEMBASES";"REVERSO",#N/A,FALSE,"MEMBASES"}</definedName>
    <definedName name="ffffffffffffffffffff" localSheetId="8" hidden="1">{"TEXTO DEL AVALUO",#N/A,TRUE,"AVALUO";"CALCULOS Y DICTAMEN",#N/A,TRUE,"CONDOMINIO"}</definedName>
    <definedName name="ffffffffffffffffffff" hidden="1">{"TEXTO DEL AVALUO",#N/A,TRUE,"AVALUO";"CALCULOS Y DICTAMEN",#N/A,TRUE,"CONDOMINIO"}</definedName>
    <definedName name="ffg" localSheetId="8" hidden="1">{#N/A,#N/A,FALSE,"AVALUO";#N/A,#N/A,FALSE,"CONDOMINIO";#N/A,#N/A,FALSE,"IGECEM"}</definedName>
    <definedName name="ffg" hidden="1">{#N/A,#N/A,FALSE,"AVALUO";#N/A,#N/A,FALSE,"CONDOMINIO";#N/A,#N/A,FALSE,"IGECEM"}</definedName>
    <definedName name="ffgg" hidden="1">{"TEXTO DEL AVALUO",#N/A,TRUE,"AVALUO";"CALCULOS Y DICTAMEN",#N/A,TRUE,"CONDOMINIO"}</definedName>
    <definedName name="fg" localSheetId="8" hidden="1">{#N/A,#N/A,FALSE,"AVALUO";#N/A,#N/A,FALSE,"CONDOMINIO";#N/A,#N/A,FALSE,"TDF"}</definedName>
    <definedName name="fg" hidden="1">{#N/A,#N/A,FALSE,"AVALUO";#N/A,#N/A,FALSE,"CONDOMINIO";#N/A,#N/A,FALSE,"TDF"}</definedName>
    <definedName name="fgfgf" localSheetId="8" hidden="1">{#N/A,#N/A,FALSE,"AVALUO";#N/A,#N/A,FALSE,"CONDOMINIO";#N/A,#N/A,FALSE,"TDF"}</definedName>
    <definedName name="fgfgf" hidden="1">{#N/A,#N/A,FALSE,"AVALUO";#N/A,#N/A,FALSE,"CONDOMINIO";#N/A,#N/A,FALSE,"TDF"}</definedName>
    <definedName name="fghg" localSheetId="8" hidden="1">{#N/A,#N/A,FALSE,"AVALUO";#N/A,#N/A,FALSE,"CONDOMINIO";#N/A,#N/A,FALSE,"IGECEM"}</definedName>
    <definedName name="fghg" hidden="1">{#N/A,#N/A,FALSE,"AVALUO";#N/A,#N/A,FALSE,"CONDOMINIO";#N/A,#N/A,FALSE,"IGECEM"}</definedName>
    <definedName name="fgjfgfffffffffffff" localSheetId="8" hidden="1">{#N/A,#N/A,FALSE,"AVALUO";#N/A,#N/A,FALSE,"CONDOMINIO";#N/A,#N/A,FALSE,"TDF"}</definedName>
    <definedName name="fgjfgfffffffffffff" hidden="1">{#N/A,#N/A,FALSE,"AVALUO";#N/A,#N/A,FALSE,"CONDOMINIO";#N/A,#N/A,FALSE,"TDF"}</definedName>
    <definedName name="fgsfg" localSheetId="4" hidden="1">#REF!</definedName>
    <definedName name="fgsfg" localSheetId="8" hidden="1">#REF!</definedName>
    <definedName name="fgsfg" hidden="1">#REF!</definedName>
    <definedName name="fgyyu" localSheetId="8" hidden="1">{#N/A,#N/A,FALSE,"AVALUO";#N/A,#N/A,FALSE,"CONDOMINIO";#N/A,#N/A,FALSE,"IGECEM"}</definedName>
    <definedName name="fgyyu" hidden="1">{#N/A,#N/A,FALSE,"AVALUO";#N/A,#N/A,FALSE,"CONDOMINIO";#N/A,#N/A,FALSE,"IGECEM"}</definedName>
    <definedName name="FH" localSheetId="8" hidden="1">{#N/A,#N/A,FALSE,"AVALUO";#N/A,#N/A,FALSE,"CONDOMINIO";#N/A,#N/A,FALSE,"IGECEM"}</definedName>
    <definedName name="FH" hidden="1">{#N/A,#N/A,FALSE,"AVALUO";#N/A,#N/A,FALSE,"CONDOMINIO";#N/A,#N/A,FALSE,"IGECEM"}</definedName>
    <definedName name="fiar" hidden="1">{#N/A,#N/A,FALSE,"avaluo";#N/A,#N/A,FALSE,"fisico";#N/A,#N/A,FALSE,"rentas";#N/A,#N/A,FALSE,"deducciones";#N/A,#N/A,FALSE,"tasas";#N/A,#N/A,FALSE,"homolog";#N/A,#N/A,FALSE,"regresion";#N/A,#N/A,FALSE,"investigacion"}</definedName>
    <definedName name="fiems" hidden="1">{"ANVERSO",#N/A,FALSE,"MEMBASES";"REVERSO",#N/A,FALSE,"MEMBASES"}</definedName>
    <definedName name="firt" hidden="1">{"TEXTO DEL AVALUO",#N/A,TRUE,"AVALUO";"CALCULOS Y DICTAMEN",#N/A,TRUE,"CONDOMINIO"}</definedName>
    <definedName name="fkes" hidden="1">{"TEXTO DEL AVALUO",#N/A,TRUE,"AVALUO";"CALCULOS Y DICTAMEN",#N/A,TRUE,"CONDOMINIO"}</definedName>
    <definedName name="FO" localSheetId="8" hidden="1">{#N/A,#N/A,FALSE,"AVALUO";#N/A,#N/A,FALSE,"CONDOMINIO";#N/A,#N/A,FALSE,"TDF"}</definedName>
    <definedName name="FO" hidden="1">{#N/A,#N/A,FALSE,"AVALUO";#N/A,#N/A,FALSE,"CONDOMINIO";#N/A,#N/A,FALSE,"TDF"}</definedName>
    <definedName name="fomr" hidden="1">{#N/A,#N/A,FALSE,"avaluo";#N/A,#N/A,FALSE,"fisico";#N/A,#N/A,FALSE,"rentas";#N/A,#N/A,FALSE,"deducciones";#N/A,#N/A,FALSE,"tasas";#N/A,#N/A,FALSE,"homolog";#N/A,#N/A,FALSE,"regresion";#N/A,#N/A,FALSE,"investigacion"}</definedName>
    <definedName name="forma" hidden="1">{"ANVERSO",#N/A,FALSE,"MEMBASES";"REVERSO",#N/A,FALSE,"MEMBASES"}</definedName>
    <definedName name="FOTO" localSheetId="8" hidden="1">{"TEXTO DEL AVALUO",#N/A,TRUE,"AVALUO";"CALCULOS Y DICTAMEN",#N/A,TRUE,"CONDOMINIO"}</definedName>
    <definedName name="FOTO" hidden="1">{"TEXTO DEL AVALUO",#N/A,TRUE,"AVALUO";"CALCULOS Y DICTAMEN",#N/A,TRUE,"CONDOMINIO"}</definedName>
    <definedName name="foto1" localSheetId="8" hidden="1">{#N/A,#N/A,FALSE,"AVALUO";#N/A,#N/A,FALSE,"CONDOMINIO";#N/A,#N/A,FALSE,"IGECEM"}</definedName>
    <definedName name="foto1" hidden="1">{#N/A,#N/A,FALSE,"AVALUO";#N/A,#N/A,FALSE,"CONDOMINIO";#N/A,#N/A,FALSE,"IGECEM"}</definedName>
    <definedName name="FOTO10" hidden="1">{#N/A,#N/A,FALSE,"AVALUO";#N/A,#N/A,FALSE,"CONDOMINIO";#N/A,#N/A,FALSE,"IGECEM"}</definedName>
    <definedName name="foto11" hidden="1">{#N/A,#N/A,FALSE,"AVALUO";#N/A,#N/A,FALSE,"CONDOMINIO";#N/A,#N/A,FALSE,"IGECEM"}</definedName>
    <definedName name="FOTO12" hidden="1">{#N/A,#N/A,FALSE,"AVALUO";#N/A,#N/A,FALSE,"CONDOMINIO";#N/A,#N/A,FALSE,"TDF"}</definedName>
    <definedName name="FOTO2" hidden="1">{#N/A,#N/A,FALSE,"AVALUO";#N/A,#N/A,FALSE,"CONDOMINIO";#N/A,#N/A,FALSE,"IGECEM"}</definedName>
    <definedName name="FOTO20" hidden="1">{#N/A,#N/A,FALSE,"AVALUO";#N/A,#N/A,FALSE,"CONDOMINIO";#N/A,#N/A,FALSE,"TDF"}</definedName>
    <definedName name="FOTO3" hidden="1">{#N/A,#N/A,FALSE,"AVALUO";#N/A,#N/A,FALSE,"CONDOMINIO";#N/A,#N/A,FALSE,"TDF"}</definedName>
    <definedName name="FOTO4" hidden="1">{#N/A,#N/A,FALSE,"AVALUO";#N/A,#N/A,FALSE,"CONDOMINIO";#N/A,#N/A,FALSE,"IGECEM"}</definedName>
    <definedName name="FOTO5" hidden="1">{#N/A,#N/A,FALSE,"AVALUO";#N/A,#N/A,FALSE,"CONDOMINIO";#N/A,#N/A,FALSE,"TDF"}</definedName>
    <definedName name="FOTO6" hidden="1">{#N/A,#N/A,FALSE,"AVALUO";#N/A,#N/A,FALSE,"CONDOMINIO";#N/A,#N/A,FALSE,"TDF"}</definedName>
    <definedName name="FOTO7" hidden="1">{#N/A,#N/A,FALSE,"AVALUO";#N/A,#N/A,FALSE,"CONDOMINIO";#N/A,#N/A,FALSE,"TDF"}</definedName>
    <definedName name="foto8" hidden="1">{#N/A,#N/A,FALSE,"AVALUO";#N/A,#N/A,FALSE,"CONDOMINIO";#N/A,#N/A,FALSE,"TDF"}</definedName>
    <definedName name="fotoa" hidden="1">{#N/A,#N/A,FALSE,"AVALUO";#N/A,#N/A,FALSE,"CONDOMINIO";#N/A,#N/A,FALSE,"IGECEM"}</definedName>
    <definedName name="fotoc" hidden="1">{#N/A,#N/A,FALSE,"AVALUO";#N/A,#N/A,FALSE,"CONDOMINIO";#N/A,#N/A,FALSE,"TDF"}</definedName>
    <definedName name="FOTOGRAFIAS" localSheetId="8" hidden="1">{#N/A,#N/A,FALSE,"AVALUO";#N/A,#N/A,FALSE,"CONDOMINIO";#N/A,#N/A,FALSE,"IGECEM"}</definedName>
    <definedName name="FOTOGRAFIAS" hidden="1">{#N/A,#N/A,FALSE,"AVALUO";#N/A,#N/A,FALSE,"CONDOMINIO";#N/A,#N/A,FALSE,"IGECEM"}</definedName>
    <definedName name="fotos1" localSheetId="8" hidden="1">{"TEXTO DEL AVALUO",#N/A,TRUE,"AVALUO";"CALCULOS Y DICTAMEN",#N/A,TRUE,"CONDOMINIO"}</definedName>
    <definedName name="fotos1" hidden="1">{"TEXTO DEL AVALUO",#N/A,TRUE,"AVALUO";"CALCULOS Y DICTAMEN",#N/A,TRUE,"CONDOMINIO"}</definedName>
    <definedName name="FOTOSRENTAS" localSheetId="8" hidden="1">{"ANVERSO",#N/A,FALSE,"MEMBASES";"REVERSO",#N/A,FALSE,"MEMBASES"}</definedName>
    <definedName name="FOTOSRENTAS" hidden="1">{"ANVERSO",#N/A,FALSE,"MEMBASES";"REVERSO",#N/A,FALSE,"MEMBASES"}</definedName>
    <definedName name="fqef" localSheetId="8" hidden="1">{"TEXTO DEL AVALUO",#N/A,FALSE,"AVALUO";"CALCULOS Y DICTAMEN",#N/A,FALSE,"CONDOMINIO"}</definedName>
    <definedName name="fqef" hidden="1">{"TEXTO DEL AVALUO",#N/A,FALSE,"AVALUO";"CALCULOS Y DICTAMEN",#N/A,FALSE,"CONDOMINIO"}</definedName>
    <definedName name="FRFRFRR" localSheetId="8" hidden="1">{#N/A,#N/A,FALSE,"AVALUO";#N/A,#N/A,FALSE,"CONDOMINIO";#N/A,#N/A,FALSE,"IGECEM"}</definedName>
    <definedName name="FRFRFRR" hidden="1">{#N/A,#N/A,FALSE,"AVALUO";#N/A,#N/A,FALSE,"CONDOMINIO";#N/A,#N/A,FALSE,"IGECEM"}</definedName>
    <definedName name="frg" localSheetId="8" hidden="1">{"TEXTO DEL AVALUO",#N/A,FALSE,"AVALUO";"CALCULOS Y DICTAMEN",#N/A,FALSE,"CONDOMINIO"}</definedName>
    <definedName name="frg" hidden="1">{"TEXTO DEL AVALUO",#N/A,FALSE,"AVALUO";"CALCULOS Y DICTAMEN",#N/A,FALSE,"CONDOMINIO"}</definedName>
    <definedName name="frgfgty" localSheetId="8" hidden="1">{"TEXTO DEL AVALUO",#N/A,FALSE,"AVALUO";"CALCULOS Y DICTAMEN",#N/A,FALSE,"CONDOMINIO"}</definedName>
    <definedName name="frgfgty" hidden="1">{"TEXTO DEL AVALUO",#N/A,FALSE,"AVALUO";"CALCULOS Y DICTAMEN",#N/A,FALSE,"CONDOMINIO"}</definedName>
    <definedName name="frgt" localSheetId="8" hidden="1">{#N/A,#N/A,FALSE,"AVALUO";#N/A,#N/A,FALSE,"CONDOMINIO";#N/A,#N/A,FALSE,"IGECEM"}</definedName>
    <definedName name="frgt" hidden="1">{#N/A,#N/A,FALSE,"AVALUO";#N/A,#N/A,FALSE,"CONDOMINIO";#N/A,#N/A,FALSE,"IGECEM"}</definedName>
    <definedName name="frt" hidden="1">{"ANVERSO",#N/A,FALSE,"MEMBASES";"REVERSO",#N/A,FALSE,"MEMBASES"}</definedName>
    <definedName name="frty" localSheetId="8" hidden="1">{#N/A,#N/A,FALSE,"AVALUO";#N/A,#N/A,FALSE,"CONDOMINIO";#N/A,#N/A,FALSE,"TDF"}</definedName>
    <definedName name="frty" hidden="1">{#N/A,#N/A,FALSE,"AVALUO";#N/A,#N/A,FALSE,"CONDOMINIO";#N/A,#N/A,FALSE,"TDF"}</definedName>
    <definedName name="FRUTAL2" localSheetId="8" hidden="1">{"TEXTO DEL AVALUO",#N/A,TRUE,"AVALUO";"CALCULOS Y DICTAMEN",#N/A,TRUE,"CONDOMINIO"}</definedName>
    <definedName name="FRUTAL2" hidden="1">{"TEXTO DEL AVALUO",#N/A,TRUE,"AVALUO";"CALCULOS Y DICTAMEN",#N/A,TRUE,"CONDOMINIO"}</definedName>
    <definedName name="fsdfdsfds" localSheetId="8" hidden="1">{#N/A,#N/A,FALSE,"AVALUO";#N/A,#N/A,FALSE,"CONDOMINIO";#N/A,#N/A,FALSE,"TDF"}</definedName>
    <definedName name="fsdfdsfds" hidden="1">{#N/A,#N/A,FALSE,"AVALUO";#N/A,#N/A,FALSE,"CONDOMINIO";#N/A,#N/A,FALSE,"TDF"}</definedName>
    <definedName name="FSDFS" hidden="1">{#N/A,#N/A,FALSE,"AVALUO";#N/A,#N/A,FALSE,"CONDOMINIO";#N/A,#N/A,FALSE,"IGECEM"}</definedName>
    <definedName name="ftr" hidden="1">{#N/A,#N/A,FALSE,"AVALUO";#N/A,#N/A,FALSE,"CONDOMINIO";#N/A,#N/A,FALSE,"TDF"}</definedName>
    <definedName name="FZG" hidden="1">{#N/A,#N/A,FALSE,"AVALUO";#N/A,#N/A,FALSE,"CONDOMINIO";#N/A,#N/A,FALSE,"TDF"}</definedName>
    <definedName name="g" localSheetId="8" hidden="1">{#N/A,#N/A,FALSE,"AVALUO";#N/A,#N/A,FALSE,"CONDOMINIO";#N/A,#N/A,FALSE,"TDF"}</definedName>
    <definedName name="G" hidden="1">{#N/A,#N/A,FALSE,"AVALUO";#N/A,#N/A,FALSE,"CONDOMINIO";#N/A,#N/A,FALSE,"IGECEM"}</definedName>
    <definedName name="gamusa" hidden="1">{"AVALUO DE TEXTO",#N/A,FALSE,"AVALUO";"CALCULOS EN CONDOMINIO",#N/A,FALSE,"CONDOMINIO"}</definedName>
    <definedName name="GANA" localSheetId="8" hidden="1">{#N/A,#N/A,FALSE,"AVALUO";#N/A,#N/A,FALSE,"CONDOMINIO";#N/A,#N/A,FALSE,"IGECEM"}</definedName>
    <definedName name="GANA" hidden="1">{#N/A,#N/A,FALSE,"AVALUO";#N/A,#N/A,FALSE,"CONDOMINIO";#N/A,#N/A,FALSE,"IGECEM"}</definedName>
    <definedName name="ganzo" hidden="1">{"TEXTO DEL AVALUO",#N/A,TRUE,"AVALUO";"CALCULOS Y DICTAMEN",#N/A,TRUE,"CONDOMINIO"}</definedName>
    <definedName name="gas" hidden="1">{#N/A,#N/A,FALSE,"AVALUO";#N/A,#N/A,FALSE,"CONDOMINIO";#N/A,#N/A,FALSE,"IGECEM"}</definedName>
    <definedName name="gato" hidden="1">{"TEXTO DEL AVALUO",#N/A,FALSE,"AVALUO";"CALCULOS Y DICTAMEN",#N/A,FALSE,"CONDOMINIO"}</definedName>
    <definedName name="gdie" hidden="1">{#N/A,#N/A,FALSE,"AVALUO";#N/A,#N/A,FALSE,"CONDOMINIO";#N/A,#N/A,FALSE,"TDF"}</definedName>
    <definedName name="gdr" hidden="1">{"TEXTO DEL AVALUO",#N/A,TRUE,"AVALUO";"CALCULOS Y DICTAMEN",#N/A,TRUE,"CONDOMINIO"}</definedName>
    <definedName name="GER" localSheetId="8" hidden="1">{#N/A,#N/A,FALSE,"AVALUO";#N/A,#N/A,FALSE,"CONDOMINIO";#N/A,#N/A,FALSE,"IGECEM"}</definedName>
    <definedName name="GER" hidden="1">{#N/A,#N/A,FALSE,"AVALUO";#N/A,#N/A,FALSE,"CONDOMINIO";#N/A,#N/A,FALSE,"IGECEM"}</definedName>
    <definedName name="gera" localSheetId="8" hidden="1">{#N/A,#N/A,FALSE,"AVALUO";#N/A,#N/A,FALSE,"CONDOMINIO";#N/A,#N/A,FALSE,"TDF"}</definedName>
    <definedName name="gera" hidden="1">{#N/A,#N/A,FALSE,"AVALUO";#N/A,#N/A,FALSE,"CONDOMINIO";#N/A,#N/A,FALSE,"TDF"}</definedName>
    <definedName name="GERARDO" localSheetId="8" hidden="1">{#N/A,#N/A,FALSE,"AVALUO";#N/A,#N/A,FALSE,"CONDOMINIO";#N/A,#N/A,FALSE,"TDF"}</definedName>
    <definedName name="GERARDO" hidden="1">{#N/A,#N/A,FALSE,"AVALUO";#N/A,#N/A,FALSE,"CONDOMINIO";#N/A,#N/A,FALSE,"TDF"}</definedName>
    <definedName name="gfd" hidden="1">{#N/A,#N/A,FALSE,"AVALUO";#N/A,#N/A,FALSE,"CONDOMINIO";#N/A,#N/A,FALSE,"TDF"}</definedName>
    <definedName name="gfsddgsdgds" localSheetId="8" hidden="1">{"ANVERSO",#N/A,FALSE,"MEMBASES";"REVERSO",#N/A,FALSE,"MEMBASES"}</definedName>
    <definedName name="gfsddgsdgds" hidden="1">{"ANVERSO",#N/A,FALSE,"MEMBASES";"REVERSO",#N/A,FALSE,"MEMBASES"}</definedName>
    <definedName name="GFY" localSheetId="8" hidden="1">{"ANVERSO",#N/A,FALSE,"MEMBASES";"REVERSO",#N/A,FALSE,"MEMBASES"}</definedName>
    <definedName name="GFY" hidden="1">{"ANVERSO",#N/A,FALSE,"MEMBASES";"REVERSO",#N/A,FALSE,"MEMBASES"}</definedName>
    <definedName name="gfyjhj" localSheetId="4" hidden="1">{#N/A,#N/A,FALSE,"AVALUO";#N/A,#N/A,FALSE,"CONDOMINIO";#N/A,#N/A,FALSE,"TDF"}</definedName>
    <definedName name="gfyjhj" localSheetId="8" hidden="1">{#N/A,#N/A,FALSE,"AVALUO";#N/A,#N/A,FALSE,"CONDOMINIO";#N/A,#N/A,FALSE,"TDF"}</definedName>
    <definedName name="gfyjhj" hidden="1">{#N/A,#N/A,FALSE,"AVALUO";#N/A,#N/A,FALSE,"CONDOMINIO";#N/A,#N/A,FALSE,"TDF"}</definedName>
    <definedName name="GGGGGGGGGGGG" hidden="1">{"TEXTO DEL AVALUO",#N/A,TRUE,"AVALUO";"CALCULOS Y DICTAMEN",#N/A,TRUE,"CONDOMINIO"}</definedName>
    <definedName name="ghb" hidden="1">{#N/A,#N/A,FALSE,"AVALUO";#N/A,#N/A,FALSE,"CONDOMINIO";#N/A,#N/A,FALSE,"IGECEM"}</definedName>
    <definedName name="ghkghhgk" localSheetId="8" hidden="1">{"TEXTO DEL AVALUO",#N/A,TRUE,"AVALUO";"CALCULOS Y DICTAMEN",#N/A,TRUE,"CONDOMINIO"}</definedName>
    <definedName name="ghkghhgk" hidden="1">{"TEXTO DEL AVALUO",#N/A,TRUE,"AVALUO";"CALCULOS Y DICTAMEN",#N/A,TRUE,"CONDOMINIO"}</definedName>
    <definedName name="ghkghjkgk" localSheetId="8" hidden="1">{#N/A,#N/A,FALSE,"AVALUO";#N/A,#N/A,FALSE,"CONDOMINIO";#N/A,#N/A,FALSE,"TDF"}</definedName>
    <definedName name="ghkghjkgk" hidden="1">{#N/A,#N/A,FALSE,"AVALUO";#N/A,#N/A,FALSE,"CONDOMINIO";#N/A,#N/A,FALSE,"TDF"}</definedName>
    <definedName name="ghkghkghdk" localSheetId="8" hidden="1">{"TEXTO DEL AVALUO",#N/A,TRUE,"AVALUO";"CALCULOS Y DICTAMEN",#N/A,TRUE,"CONDOMINIO"}</definedName>
    <definedName name="ghkghkghdk" hidden="1">{"TEXTO DEL AVALUO",#N/A,TRUE,"AVALUO";"CALCULOS Y DICTAMEN",#N/A,TRUE,"CONDOMINIO"}</definedName>
    <definedName name="ghm" hidden="1">{"ANVERSO",#N/A,FALSE,"MEMBASES";"REVERSO",#N/A,FALSE,"MEMBASES"}</definedName>
    <definedName name="ghui" localSheetId="8" hidden="1">{#N/A,#N/A,FALSE,"AVALUO";#N/A,#N/A,FALSE,"CONDOMINIO";#N/A,#N/A,FALSE,"IGECEM"}</definedName>
    <definedName name="ghui" hidden="1">{#N/A,#N/A,FALSE,"AVALUO";#N/A,#N/A,FALSE,"CONDOMINIO";#N/A,#N/A,FALSE,"IGECEM"}</definedName>
    <definedName name="ghuji" localSheetId="8" hidden="1">{#N/A,#N/A,FALSE,"AVALUO";#N/A,#N/A,FALSE,"CONDOMINIO";#N/A,#N/A,FALSE,"IGECEM"}</definedName>
    <definedName name="ghuji" hidden="1">{#N/A,#N/A,FALSE,"AVALUO";#N/A,#N/A,FALSE,"CONDOMINIO";#N/A,#N/A,FALSE,"IGECEM"}</definedName>
    <definedName name="go" hidden="1">{"TEXTO DEL AVALUO",#N/A,FALSE,"AVALUO";"CALCULOS Y DICTAMEN",#N/A,FALSE,"CONDOMINIO"}</definedName>
    <definedName name="gol" hidden="1">{"TEXTO DEL AVALUO",#N/A,FALSE,"AVALUO";"CALCULOS Y DICTAMEN",#N/A,FALSE,"CONDOMINIO"}</definedName>
    <definedName name="gose" hidden="1">{"ANVERSO",#N/A,FALSE,"MEMBASES";"REVERSO",#N/A,FALSE,"MEMBASES"}</definedName>
    <definedName name="goza" hidden="1">{"TEXTO DEL AVALUO",#N/A,TRUE,"AVALUO";"CALCULOS Y DICTAMEN",#N/A,TRUE,"CONDOMINIO"}</definedName>
    <definedName name="GR" hidden="1">{#N/A,#N/A,FALSE,"AVALUO";#N/A,#N/A,FALSE,"CONDOMINIO";#N/A,#N/A,FALSE,"IGECEM"}</definedName>
    <definedName name="gruu" hidden="1">{#N/A,#N/A,FALSE,"AVALUO";#N/A,#N/A,FALSE,"CONDOMINIO";#N/A,#N/A,FALSE,"TDF"}</definedName>
    <definedName name="h" localSheetId="8" hidden="1">{"TEXTO DEL AVALUO",#N/A,TRUE,"AVALUO";"CALCULOS Y DICTAMEN",#N/A,TRUE,"CONDOMINIO"}</definedName>
    <definedName name="H" hidden="1">{"TEXTO DEL AVALUO",#N/A,TRUE,"AVALUO";"CALCULOS Y DICTAMEN",#N/A,TRUE,"CONDOMINIO"}</definedName>
    <definedName name="harto" hidden="1">{"ANVERSO",#N/A,FALSE,"MEMBASES";"REVERSO",#N/A,FALSE,"MEMBASES"}</definedName>
    <definedName name="hdfhdfhdfhdf" localSheetId="8" hidden="1">{#N/A,#N/A,FALSE,"AVALUO";#N/A,#N/A,FALSE,"CONDOMINIO";#N/A,#N/A,FALSE,"TDF"}</definedName>
    <definedName name="hdfhdfhdfhdf" hidden="1">{#N/A,#N/A,FALSE,"AVALUO";#N/A,#N/A,FALSE,"CONDOMINIO";#N/A,#N/A,FALSE,"TDF"}</definedName>
    <definedName name="hert" hidden="1">{"TEXTO DEL AVALUO",#N/A,TRUE,"AVALUO";"CALCULOS Y DICTAMEN",#N/A,TRUE,"CONDOMINIO"}</definedName>
    <definedName name="hgf" hidden="1">{"ANVERSO",#N/A,FALSE,"MEMBASES";"REVERSO",#N/A,FALSE,"MEMBASES"}</definedName>
    <definedName name="hh" localSheetId="8" hidden="1">{#N/A,#N/A,FALSE,"AVALUO";#N/A,#N/A,FALSE,"CONDOMINIO";#N/A,#N/A,FALSE,"IGECEM"}</definedName>
    <definedName name="hh" hidden="1">{#N/A,#N/A,FALSE,"AVALUO";#N/A,#N/A,FALSE,"CONDOMINIO";#N/A,#N/A,FALSE,"IGECEM"}</definedName>
    <definedName name="hhhhhhhhhh" localSheetId="8" hidden="1">{"ANVERSO",#N/A,FALSE,"MEMBASES";"REVERSO",#N/A,FALSE,"MEMBASES"}</definedName>
    <definedName name="hhhhhhhhhh" hidden="1">{"ANVERSO",#N/A,FALSE,"MEMBASES";"REVERSO",#N/A,FALSE,"MEMBASES"}</definedName>
    <definedName name="hilos" hidden="1">{#N/A,#N/A,FALSE,"AVALUO";#N/A,#N/A,FALSE,"CONDOMINIO";#N/A,#N/A,FALSE,"TDF"}</definedName>
    <definedName name="hjk" hidden="1">{"AVALUO DE TEXTO",#N/A,FALSE,"AVALUO";"CALCULOS EN CONDOMINIO",#N/A,FALSE,"CONDOMINIO"}</definedName>
    <definedName name="hju" localSheetId="8" hidden="1">{"TEXTO DEL AVALUO",#N/A,TRUE,"AVALUO";"CALCULOS Y DICTAMEN",#N/A,TRUE,"CONDOMINIO"}</definedName>
    <definedName name="hju" hidden="1">{"TEXTO DEL AVALUO",#N/A,TRUE,"AVALUO";"CALCULOS Y DICTAMEN",#N/A,TRUE,"CONDOMINIO"}</definedName>
    <definedName name="hjui" localSheetId="8" hidden="1">{#N/A,#N/A,FALSE,"AVALUO";#N/A,#N/A,FALSE,"CONDOMINIO";#N/A,#N/A,FALSE,"TDF"}</definedName>
    <definedName name="hjui" hidden="1">{#N/A,#N/A,FALSE,"AVALUO";#N/A,#N/A,FALSE,"CONDOMINIO";#N/A,#N/A,FALSE,"TDF"}</definedName>
    <definedName name="hjuji" localSheetId="8" hidden="1">{#N/A,#N/A,FALSE,"AVALUO";#N/A,#N/A,FALSE,"CONDOMINIO";#N/A,#N/A,FALSE,"TDF"}</definedName>
    <definedName name="hjuji" hidden="1">{#N/A,#N/A,FALSE,"AVALUO";#N/A,#N/A,FALSE,"CONDOMINIO";#N/A,#N/A,FALSE,"TDF"}</definedName>
    <definedName name="HKHGKGHKGHKGH" localSheetId="8" hidden="1">{"ANVERSO",#N/A,FALSE,"MEMBASES";"REVERSO",#N/A,FALSE,"MEMBASES"}</definedName>
    <definedName name="HKHGKGHKGHKGH" hidden="1">{"ANVERSO",#N/A,FALSE,"MEMBASES";"REVERSO",#N/A,FALSE,"MEMBASES"}</definedName>
    <definedName name="hoja20" localSheetId="4" hidden="1">{#N/A,#N/A,FALSE,"AVALUO";#N/A,#N/A,FALSE,"CONDOMINIO";#N/A,#N/A,FALSE,"TDF"}</definedName>
    <definedName name="hoja20" localSheetId="8" hidden="1">{#N/A,#N/A,FALSE,"AVALUO";#N/A,#N/A,FALSE,"CONDOMINIO";#N/A,#N/A,FALSE,"TDF"}</definedName>
    <definedName name="hoja20" hidden="1">{#N/A,#N/A,FALSE,"AVALUO";#N/A,#N/A,FALSE,"CONDOMINIO";#N/A,#N/A,FALSE,"TDF"}</definedName>
    <definedName name="HOLA" localSheetId="4" hidden="1">{#N/A,#N/A,FALSE,"AVALUO";#N/A,#N/A,FALSE,"CONDOMINIO";#N/A,#N/A,FALSE,"IGECEM"}</definedName>
    <definedName name="HOLA" localSheetId="8" hidden="1">{#N/A,#N/A,FALSE,"AVALUO";#N/A,#N/A,FALSE,"CONDOMINIO";#N/A,#N/A,FALSE,"IGECEM"}</definedName>
    <definedName name="HOLA" hidden="1">{#N/A,#N/A,FALSE,"AVALUO";#N/A,#N/A,FALSE,"CONDOMINIO";#N/A,#N/A,FALSE,"IGECEM"}</definedName>
    <definedName name="hom." localSheetId="8" hidden="1">{#N/A,#N/A,FALSE,"AVALUO";#N/A,#N/A,FALSE,"CONDOMINIO";#N/A,#N/A,FALSE,"IGECEM"}</definedName>
    <definedName name="hom." hidden="1">{#N/A,#N/A,FALSE,"AVALUO";#N/A,#N/A,FALSE,"CONDOMINIO";#N/A,#N/A,FALSE,"IGECEM"}</definedName>
    <definedName name="HOMVENÇ" localSheetId="8" hidden="1">{"TEXTO DEL AVALUO",#N/A,FALSE,"AVALUO";"CALCULOS Y DICTAMEN",#N/A,FALSE,"CONDOMINIO"}</definedName>
    <definedName name="HOMVENÇ" hidden="1">{"TEXTO DEL AVALUO",#N/A,FALSE,"AVALUO";"CALCULOS Y DICTAMEN",#N/A,FALSE,"CONDOMINIO"}</definedName>
    <definedName name="honorarios" hidden="1">{#N/A,#N/A,FALSE,"AVALUO";#N/A,#N/A,FALSE,"CONDOMINIO";#N/A,#N/A,FALSE,"IGECEM"}</definedName>
    <definedName name="hoz" hidden="1">{#N/A,#N/A,FALSE,"AVALUO";#N/A,#N/A,FALSE,"CONDOMINIO";#N/A,#N/A,FALSE,"IGECEM"}</definedName>
    <definedName name="hrt" hidden="1">{#N/A,#N/A,FALSE,"AVALUO";#N/A,#N/A,FALSE,"CONDOMINIO";#N/A,#N/A,FALSE,"IGECEM"}</definedName>
    <definedName name="hsrt" hidden="1">{#N/A,#N/A,FALSE,"AVALUO";#N/A,#N/A,FALSE,"CONDOMINIO";#N/A,#N/A,FALSE,"IGECEM"}</definedName>
    <definedName name="HTEUJJWE" localSheetId="8" hidden="1">{#N/A,#N/A,FALSE,"AVALUO";#N/A,#N/A,FALSE,"CONDOMINIO";#N/A,#N/A,FALSE,"TDF"}</definedName>
    <definedName name="HTEUJJWE" hidden="1">{#N/A,#N/A,FALSE,"AVALUO";#N/A,#N/A,FALSE,"CONDOMINIO";#N/A,#N/A,FALSE,"TDF"}</definedName>
    <definedName name="HTML_CodePage" hidden="1">1252</definedName>
    <definedName name="HTML_Control" localSheetId="4" hidden="1">{"'Hoja1'!$B$6:$H$6"}</definedName>
    <definedName name="HTML_Control" localSheetId="8" hidden="1">{"'Sheet1'!$A$1:$G$85"}</definedName>
    <definedName name="HTML_Control" hidden="1">{"'Sheet1'!$A$1:$G$85"}</definedName>
    <definedName name="HTML_Control2" localSheetId="8" hidden="1">{"'Hoja1'!$B$6:$H$6"}</definedName>
    <definedName name="HTML_Control2" hidden="1">{"'Hoja1'!$B$6:$H$6"}</definedName>
    <definedName name="HTML_Description" hidden="1">""</definedName>
    <definedName name="HTML_Email" hidden="1">""</definedName>
    <definedName name="HTML_Header" localSheetId="4" hidden="1">"Hoja1"</definedName>
    <definedName name="HTML_Header" hidden="1">"Sheet1"</definedName>
    <definedName name="HTML_LastUpdate" localSheetId="4" hidden="1">"17/09/99"</definedName>
    <definedName name="HTML_LastUpdate" hidden="1">"2/24/99"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"GRUPO SARE"</definedName>
    <definedName name="HTML_Name" hidden="1">"Aswath Damodaran"</definedName>
    <definedName name="HTML_OBDlg2" hidden="1">TRUE</definedName>
    <definedName name="HTML_OBDlg4" hidden="1">TRUE</definedName>
    <definedName name="HTML_OS" localSheetId="4" hidden="1">0</definedName>
    <definedName name="HTML_OS" hidden="1">1</definedName>
    <definedName name="HTML_PathFile" hidden="1">"C:\Mis documentos\Otros\HTML.htm"</definedName>
    <definedName name="HTML_PathFileMac" hidden="1">"Macintosh HD:HomePageStuff:New_Home_Page:datafile:histret.html"</definedName>
    <definedName name="HTML_Title" localSheetId="4" hidden="1">"Comisiones"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tr" hidden="1">{"TEXTO DEL AVALUO",#N/A,TRUE,"AVALUO";"CALCULOS Y DICTAMEN",#N/A,TRUE,"CONDOMINIO"}</definedName>
    <definedName name="hu" localSheetId="8" hidden="1">{#N/A,#N/A,FALSE,"AVALUO";#N/A,#N/A,FALSE,"CONDOMINIO";#N/A,#N/A,FALSE,"TDF"}</definedName>
    <definedName name="hu" hidden="1">{#N/A,#N/A,FALSE,"AVALUO";#N/A,#N/A,FALSE,"CONDOMINIO";#N/A,#N/A,FALSE,"TDF"}</definedName>
    <definedName name="huji" localSheetId="8" hidden="1">{#N/A,#N/A,FALSE,"AVALUO";#N/A,#N/A,FALSE,"CONDOMINIO";#N/A,#N/A,FALSE,"IGECEM"}</definedName>
    <definedName name="huji" hidden="1">{#N/A,#N/A,FALSE,"AVALUO";#N/A,#N/A,FALSE,"CONDOMINIO";#N/A,#N/A,FALSE,"IGECEM"}</definedName>
    <definedName name="huyt" hidden="1">{#N/A,#N/A,FALSE,"AVALUO";#N/A,#N/A,FALSE,"CONDOMINIO";#N/A,#N/A,FALSE,"TDF"}</definedName>
    <definedName name="HV" localSheetId="8" hidden="1">{#N/A,#N/A,FALSE,"AVALUO";#N/A,#N/A,FALSE,"CONDOMINIO";#N/A,#N/A,FALSE,"IGECEM"}</definedName>
    <definedName name="HV" hidden="1">{#N/A,#N/A,FALSE,"AVALUO";#N/A,#N/A,FALSE,"CONDOMINIO";#N/A,#N/A,FALSE,"IGECEM"}</definedName>
    <definedName name="hytu" hidden="1">{#N/A,#N/A,FALSE,"AVALUO";#N/A,#N/A,FALSE,"CONDOMINIO";#N/A,#N/A,FALSE,"TDF"}</definedName>
    <definedName name="i" localSheetId="8" hidden="1">{"TEXTO DEL AVALUO",#N/A,FALSE,"AVALUO";"CALCULOS Y DICTAMEN",#N/A,FALSE,"CONDOMINIO"}</definedName>
    <definedName name="I" hidden="1">{#N/A,#N/A,FALSE,"AVALUO";#N/A,#N/A,FALSE,"CONDOMINIO";#N/A,#N/A,FALSE,"IGECEM"}</definedName>
    <definedName name="iioioi" localSheetId="8" hidden="1">{#N/A,#N/A,FALSE,"AVALUO";#N/A,#N/A,FALSE,"CONDOMINIO";#N/A,#N/A,FALSE,"IGECEM"}</definedName>
    <definedName name="iioioi" hidden="1">{#N/A,#N/A,FALSE,"AVALUO";#N/A,#N/A,FALSE,"CONDOMINIO";#N/A,#N/A,FALSE,"IGECEM"}</definedName>
    <definedName name="ijn" hidden="1">{"AVALUO DE TEXTO",#N/A,FALSE,"AVALUO";"CALCULOS EN CONDOMINIO",#N/A,FALSE,"CONDOMINIO"}</definedName>
    <definedName name="impri" hidden="1">{"TEXTO DEL AVALUO",#N/A,TRUE,"AVALUO";"CALCULOS Y DICTAMEN",#N/A,TRUE,"CONDOMINIO"}</definedName>
    <definedName name="in" hidden="1">{"'Hoja1'!$B$6:$H$6"}</definedName>
    <definedName name="INDAABIN" hidden="1">{#N/A,#N/A,FALSE,"AVALUO";#N/A,#N/A,FALSE,"CONDOMINIO";#N/A,#N/A,FALSE,"TDF"}</definedName>
    <definedName name="INV" hidden="1">{#N/A,#N/A,FALSE,"AVALUO";#N/A,#N/A,FALSE,"CONDOMINIO";#N/A,#N/A,FALSE,"TDF"}</definedName>
    <definedName name="INV.LOC.RENTA" localSheetId="8" hidden="1">{"TEXTO DEL AVALUO",#N/A,TRUE,"AVALUO";"CALCULOS Y DICTAMEN",#N/A,TRUE,"CONDOMINIO"}</definedName>
    <definedName name="INV.LOC.RENTA" hidden="1">{"TEXTO DEL AVALUO",#N/A,TRUE,"AVALUO";"CALCULOS Y DICTAMEN",#N/A,TRUE,"CONDOMINIO"}</definedName>
    <definedName name="INV.LOC.VENTA" localSheetId="8" hidden="1">{"TEXTO DEL AVALUO",#N/A,TRUE,"AVALUO";"CALCULOS Y DICTAMEN",#N/A,TRUE,"CONDOMINIO"}</definedName>
    <definedName name="INV.LOC.VENTA" hidden="1">{"TEXTO DEL AVALUO",#N/A,TRUE,"AVALUO";"CALCULOS Y DICTAMEN",#N/A,TRUE,"CONDOMINIO"}</definedName>
    <definedName name="INV.LOCALESVENTA" localSheetId="8" hidden="1">{"TEXTO DEL AVALUO",#N/A,TRUE,"AVALUO";"CALCULOS Y DICTAMEN",#N/A,TRUE,"CONDOMINIO"}</definedName>
    <definedName name="INV.LOCALESVENTA" hidden="1">{"TEXTO DEL AVALUO",#N/A,TRUE,"AVALUO";"CALCULOS Y DICTAMEN",#N/A,TRUE,"CONDOMINIO"}</definedName>
    <definedName name="INVENTARIO" localSheetId="8" hidden="1">{#N/A,#N/A,FALSE,"AVALUO";#N/A,#N/A,FALSE,"CONDOMINIO";#N/A,#N/A,FALSE,"IGECEM"}</definedName>
    <definedName name="INVENTARIO" hidden="1">{#N/A,#N/A,FALSE,"AVALUO";#N/A,#N/A,FALSE,"CONDOMINIO";#N/A,#N/A,FALSE,"IGECEM"}</definedName>
    <definedName name="ioyooy" hidden="1">{"ANVERSO",#N/A,FALSE,"MEMBASES";"REVERSO",#N/A,FALSE,"MEMBASES"}</definedName>
    <definedName name="ipuotyiyi" localSheetId="8" hidden="1">{#N/A,#N/A,FALSE,"AVALUO";#N/A,#N/A,FALSE,"CONDOMINIO";#N/A,#N/A,FALSE,"TDF"}</definedName>
    <definedName name="ipuotyiyi" hidden="1">{#N/A,#N/A,FALSE,"AVALUO";#N/A,#N/A,FALSE,"CONDOMINIO";#N/A,#N/A,FALSE,"TDF"}</definedName>
    <definedName name="ITYITYIYI" localSheetId="8" hidden="1">{#N/A,#N/A,FALSE,"AVALUO";#N/A,#N/A,FALSE,"CONDOMINIO";#N/A,#N/A,FALSE,"TDF"}</definedName>
    <definedName name="ITYITYIYI" hidden="1">{#N/A,#N/A,FALSE,"AVALUO";#N/A,#N/A,FALSE,"CONDOMINIO";#N/A,#N/A,FALSE,"TDF"}</definedName>
    <definedName name="ityiytiy6ity" localSheetId="8" hidden="1">{#N/A,#N/A,FALSE,"AVALUO";#N/A,#N/A,FALSE,"CONDOMINIO";#N/A,#N/A,FALSE,"IGECEM"}</definedName>
    <definedName name="ityiytiy6ity" hidden="1">{#N/A,#N/A,FALSE,"AVALUO";#N/A,#N/A,FALSE,"CONDOMINIO";#N/A,#N/A,FALSE,"IGECEM"}</definedName>
    <definedName name="iytyityityityirtjcg" localSheetId="8" hidden="1">{"AVALUO DE TEXTO",#N/A,FALSE,"AVALUO";"CALCULOS EN CONDOMINIO",#N/A,FALSE,"CONDOMINIO"}</definedName>
    <definedName name="iytyityityityirtjcg" hidden="1">{"AVALUO DE TEXTO",#N/A,FALSE,"AVALUO";"CALCULOS EN CONDOMINIO",#N/A,FALSE,"CONDOMINIO"}</definedName>
    <definedName name="iyuyu" localSheetId="8" hidden="1">{"ANVERSO",#N/A,FALSE,"MEMBASES";"REVERSO",#N/A,FALSE,"MEMBASES"}</definedName>
    <definedName name="iyuyu" hidden="1">{"ANVERSO",#N/A,FALSE,"MEMBASES";"REVERSO",#N/A,FALSE,"MEMBASES"}</definedName>
    <definedName name="iz" localSheetId="8" hidden="1">{#N/A,#N/A,FALSE,"AVALUO";#N/A,#N/A,FALSE,"CONDOMINIO";#N/A,#N/A,FALSE,"TDF"}</definedName>
    <definedName name="iz" hidden="1">{#N/A,#N/A,FALSE,"AVALUO";#N/A,#N/A,FALSE,"CONDOMINIO";#N/A,#N/A,FALSE,"TDF"}</definedName>
    <definedName name="ja" hidden="1">{"TEXTO DEL AVALUO",#N/A,TRUE,"AVALUO";"CALCULOS Y DICTAMEN",#N/A,TRUE,"CONDOMINIO"}</definedName>
    <definedName name="jeu" hidden="1">{#N/A,#N/A,FALSE,"AVALUO";#N/A,#N/A,FALSE,"CONDOMINIO";#N/A,#N/A,FALSE,"IGECEM"}</definedName>
    <definedName name="jftit" hidden="1">{"TEXTO DEL AVALUO",#N/A,TRUE,"AVALUO";"CALCULOS Y DICTAMEN",#N/A,TRUE,"CONDOMINIO"}</definedName>
    <definedName name="jgh" localSheetId="8" hidden="1">{#N/A,#N/A,FALSE,"AVALUO";#N/A,#N/A,FALSE,"CONDOMINIO";#N/A,#N/A,FALSE,"TDF"}</definedName>
    <definedName name="jgh" hidden="1">{#N/A,#N/A,FALSE,"AVALUO";#N/A,#N/A,FALSE,"CONDOMINIO";#N/A,#N/A,FALSE,"TDF"}</definedName>
    <definedName name="jhggg" localSheetId="8" hidden="1">{"AVALUO DE TEXTO",#N/A,FALSE,"AVALUO";"CALCULOS EN CONDOMINIO",#N/A,FALSE,"CONDOMINIO"}</definedName>
    <definedName name="jhggg" hidden="1">{"AVALUO DE TEXTO",#N/A,FALSE,"AVALUO";"CALCULOS EN CONDOMINIO",#N/A,FALSE,"CONDOMINIO"}</definedName>
    <definedName name="JKDFJK" hidden="1">{#N/A,#N/A,FALSE,"AVALUO";#N/A,#N/A,FALSE,"CONDOMINIO";#N/A,#N/A,FALSE,"TDF"}</definedName>
    <definedName name="jkio" localSheetId="8" hidden="1">{"AVALUO DE TEXTO",#N/A,FALSE,"AVALUO";"CALCULOS EN CONDOMINIO",#N/A,FALSE,"CONDOMINIO"}</definedName>
    <definedName name="jkio" hidden="1">{"AVALUO DE TEXTO",#N/A,FALSE,"AVALUO";"CALCULOS EN CONDOMINIO",#N/A,FALSE,"CONDOMINIO"}</definedName>
    <definedName name="jkk" hidden="1">{#N/A,#N/A,FALSE,"AVALUO";#N/A,#N/A,FALSE,"CONDOMINIO";#N/A,#N/A,FALSE,"TDF"}</definedName>
    <definedName name="jorgito" hidden="1">{#N/A,#N/A,FALSE,"AVALUO";#N/A,#N/A,FALSE,"CONDOMINIO";#N/A,#N/A,FALSE,"TDF"}</definedName>
    <definedName name="JUAN" hidden="1">{"AVALUO DE TEXTO",#N/A,FALSE,"AVALUO";"CALCULOS EN CONDOMINIO",#N/A,FALSE,"CONDOMINIO"}</definedName>
    <definedName name="JUANQ" localSheetId="8" hidden="1">{#N/A,#N/A,FALSE,"AVALUO";#N/A,#N/A,FALSE,"CONDOMINIO";#N/A,#N/A,FALSE,"IGECEM"}</definedName>
    <definedName name="JUANQ" hidden="1">{#N/A,#N/A,FALSE,"AVALUO";#N/A,#N/A,FALSE,"CONDOMINIO";#N/A,#N/A,FALSE,"IGECEM"}</definedName>
    <definedName name="juguar" hidden="1">{#N/A,#N/A,FALSE,"AVALUO";#N/A,#N/A,FALSE,"CONDOMINIO";#N/A,#N/A,FALSE,"TDF"}</definedName>
    <definedName name="JULITA" hidden="1">{"ANVERSO",#N/A,FALSE,"MEMBASES";"REVERSO",#N/A,FALSE,"MEMBASES"}</definedName>
    <definedName name="juy" hidden="1">{#N/A,#N/A,FALSE,"AVALUO";#N/A,#N/A,FALSE,"CONDOMINIO";#N/A,#N/A,FALSE,"TDF"}</definedName>
    <definedName name="jyjryiryiyri" localSheetId="8" hidden="1">{"TEXTO DEL AVALUO",#N/A,TRUE,"AVALUO";"CALCULOS Y DICTAMEN",#N/A,TRUE,"CONDOMINIO"}</definedName>
    <definedName name="jyjryiryiyri" hidden="1">{"TEXTO DEL AVALUO",#N/A,TRUE,"AVALUO";"CALCULOS Y DICTAMEN",#N/A,TRUE,"CONDOMINIO"}</definedName>
    <definedName name="K" hidden="1">{#N/A,#N/A,FALSE,"AVALUO";#N/A,#N/A,FALSE,"CONDOMINIO";#N/A,#N/A,FALSE,"TDF"}</definedName>
    <definedName name="keru" hidden="1">{"TEXTO DEL AVALUO",#N/A,FALSE,"AVALUO";"CALCULOS Y DICTAMEN",#N/A,FALSE,"CONDOMINIO"}</definedName>
    <definedName name="KGHKGHE" localSheetId="8" hidden="1">{#N/A,#N/A,FALSE,"AVALUO";#N/A,#N/A,FALSE,"CONDOMINIO";#N/A,#N/A,FALSE,"TDF"}</definedName>
    <definedName name="KGHKGHE" hidden="1">{#N/A,#N/A,FALSE,"AVALUO";#N/A,#N/A,FALSE,"CONDOMINIO";#N/A,#N/A,FALSE,"TDF"}</definedName>
    <definedName name="kiu" hidden="1">{"AVALUO DE TEXTO",#N/A,FALSE,"AVALUO";"CALCULOS EN CONDOMINIO",#N/A,FALSE,"CONDOMINIO"}</definedName>
    <definedName name="kjhdfksj" hidden="1">{"TEXTO DEL AVALUO",#N/A,FALSE,"AVALUO";"CALCULOS Y DICTAMEN",#N/A,FALSE,"CONDOMINIO"}</definedName>
    <definedName name="kkkkkkkkkkk" localSheetId="8" hidden="1">{"AVALUO DE TEXTO",#N/A,FALSE,"AVALUO";"CALCULOS EN CONDOMINIO",#N/A,FALSE,"CONDOMINIO"}</definedName>
    <definedName name="kkkkkkkkkkk" hidden="1">{"AVALUO DE TEXTO",#N/A,FALSE,"AVALUO";"CALCULOS EN CONDOMINIO",#N/A,FALSE,"CONDOMINIO"}</definedName>
    <definedName name="KL" localSheetId="8" hidden="1">{"AVALUO DE TEXTO",#N/A,FALSE,"AVALUO";"CALCULOS EN CONDOMINIO",#N/A,FALSE,"CONDOMINIO"}</definedName>
    <definedName name="KL" hidden="1">{"AVALUO DE TEXTO",#N/A,FALSE,"AVALUO";"CALCULOS EN CONDOMINIO",#N/A,FALSE,"CONDOMINIO"}</definedName>
    <definedName name="KLJ" localSheetId="8" hidden="1">{#N/A,#N/A,FALSE,"AVALUO";#N/A,#N/A,FALSE,"CONDOMINIO";#N/A,#N/A,FALSE,"TDF"}</definedName>
    <definedName name="KLJ" hidden="1">{#N/A,#N/A,FALSE,"AVALUO";#N/A,#N/A,FALSE,"CONDOMINIO";#N/A,#N/A,FALSE,"TDF"}</definedName>
    <definedName name="KO" localSheetId="8" hidden="1">{#N/A,#N/A,FALSE,"AVALUO";#N/A,#N/A,FALSE,"CONDOMINIO";#N/A,#N/A,FALSE,"TDF"}</definedName>
    <definedName name="KO" hidden="1">{#N/A,#N/A,FALSE,"AVALUO";#N/A,#N/A,FALSE,"CONDOMINIO";#N/A,#N/A,FALSE,"TDF"}</definedName>
    <definedName name="LANCE1" localSheetId="8" hidden="1">{#N/A,#N/A,FALSE,"AVALUO";#N/A,#N/A,FALSE,"CONDOMINIO";#N/A,#N/A,FALSE,"IGECEM"}</definedName>
    <definedName name="LANCE1" hidden="1">{#N/A,#N/A,FALSE,"AVALUO";#N/A,#N/A,FALSE,"CONDOMINIO";#N/A,#N/A,FALSE,"IGECEM"}</definedName>
    <definedName name="LANCE2" localSheetId="8" hidden="1">{#N/A,#N/A,FALSE,"AVALUO";#N/A,#N/A,FALSE,"CONDOMINIO";#N/A,#N/A,FALSE,"TDF"}</definedName>
    <definedName name="LANCE2" hidden="1">{#N/A,#N/A,FALSE,"AVALUO";#N/A,#N/A,FALSE,"CONDOMINIO";#N/A,#N/A,FALSE,"TDF"}</definedName>
    <definedName name="lapt" hidden="1">{#N/A,#N/A,FALSE,"AVALUO";#N/A,#N/A,FALSE,"CONDOMINIO";#N/A,#N/A,FALSE,"TDF"}</definedName>
    <definedName name="las" hidden="1">{"AVALUO DE TEXTO",#N/A,FALSE,"AVALUO";"CALCULOS EN CONDOMINIO",#N/A,FALSE,"CONDOMINIO"}</definedName>
    <definedName name="lents" hidden="1">{#N/A,#N/A,FALSE,"AVALUO";#N/A,#N/A,FALSE,"CONDOMINIO";#N/A,#N/A,FALSE,"TDF"}</definedName>
    <definedName name="letrados" hidden="1">{#N/A,#N/A,FALSE,"AVALUO";#N/A,#N/A,FALSE,"CONDOMINIO";#N/A,#N/A,FALSE,"TDF"}</definedName>
    <definedName name="letradoss" hidden="1">{"TEXTO DEL AVALUO",#N/A,TRUE,"AVALUO";"CALCULOS Y DICTAMEN",#N/A,TRUE,"CONDOMINIO"}</definedName>
    <definedName name="lfit" hidden="1">{#N/A,#N/A,FALSE,"AVALUO";#N/A,#N/A,FALSE,"CONDOMINIO";#N/A,#N/A,FALSE,"TDF"}</definedName>
    <definedName name="lhjlhjlhj" localSheetId="8" hidden="1">{"TEXTO DEL AVALUO",#N/A,FALSE,"AVALUO";"CALCULOS Y DICTAMEN",#N/A,FALSE,"CONDOMINIO"}</definedName>
    <definedName name="lhjlhjlhj" hidden="1">{"TEXTO DEL AVALUO",#N/A,FALSE,"AVALUO";"CALCULOS Y DICTAMEN",#N/A,FALSE,"CONDOMINIO"}</definedName>
    <definedName name="libr" hidden="1">{"AVALUO DE TEXTO",#N/A,FALSE,"AVALUO";"CALCULOS EN CONDOMINIO",#N/A,FALSE,"CONDOMINIO"}</definedName>
    <definedName name="libro" hidden="1">{#N/A,#N/A,FALSE,"AVALUO";#N/A,#N/A,FALSE,"CONDOMINIO";#N/A,#N/A,FALSE,"TDF"}</definedName>
    <definedName name="ljhlhjlhjl" localSheetId="8" hidden="1">{"TEXTO DEL AVALUO",#N/A,FALSE,"AVALUO";"CALCULOS Y DICTAMEN",#N/A,FALSE,"CONDOMINIO"}</definedName>
    <definedName name="ljhlhjlhjl" hidden="1">{"TEXTO DEL AVALUO",#N/A,FALSE,"AVALUO";"CALCULOS Y DICTAMEN",#N/A,FALSE,"CONDOMINIO"}</definedName>
    <definedName name="lkj" hidden="1">{#N/A,#N/A,FALSE,"AVALUO";#N/A,#N/A,FALSE,"CONDOMINIO";#N/A,#N/A,FALSE,"TDF"}</definedName>
    <definedName name="lkk" localSheetId="8" hidden="1">{"'Hoja1'!$B$6:$H$6"}</definedName>
    <definedName name="lkk" hidden="1">{"'Hoja1'!$B$6:$H$6"}</definedName>
    <definedName name="lklkl" localSheetId="8" hidden="1">{"ANVERSO",#N/A,FALSE,"MEMBASES";"REVERSO",#N/A,FALSE,"MEMBASES"}</definedName>
    <definedName name="lklkl" hidden="1">{"ANVERSO",#N/A,FALSE,"MEMBASES";"REVERSO",#N/A,FALSE,"MEMBASES"}</definedName>
    <definedName name="llano" hidden="1">{"AVALUO DE TEXTO",#N/A,FALSE,"AVALUO";"CALCULOS EN CONDOMINIO",#N/A,FALSE,"CONDOMINIO"}</definedName>
    <definedName name="llanta" hidden="1">{#N/A,#N/A,FALSE,"AVALUO";#N/A,#N/A,FALSE,"CONDOMINIO";#N/A,#N/A,FALSE,"TDF"}</definedName>
    <definedName name="llanura" hidden="1">{#N/A,#N/A,FALSE,"AVALUO";#N/A,#N/A,FALSE,"CONDOMINIO";#N/A,#N/A,FALSE,"TDF"}</definedName>
    <definedName name="llll" localSheetId="8" hidden="1">{"TEXTO DEL AVALUO",#N/A,FALSE,"AVALUO";"CALCULOS Y DICTAMEN",#N/A,FALSE,"CONDOMINIO"}</definedName>
    <definedName name="llll" hidden="1">{"TEXTO DEL AVALUO",#N/A,FALSE,"AVALUO";"CALCULOS Y DICTAMEN",#N/A,FALSE,"CONDOMINIO"}</definedName>
    <definedName name="LLLLLLLLLLL" hidden="1">{"TEXTO DEL AVALUO",#N/A,TRUE,"AVALUO";"CALCULOS Y DICTAMEN",#N/A,TRUE,"CONDOMINIO"}</definedName>
    <definedName name="LLLLLLLLLLLL" hidden="1">{#N/A,#N/A,FALSE,"AVALUO";#N/A,#N/A,FALSE,"CONDOMINIO";#N/A,#N/A,FALSE,"IGECEM"}</definedName>
    <definedName name="lo" hidden="1">{"ANVERSO",#N/A,FALSE,"MEMBASES";"REVERSO",#N/A,FALSE,"MEMBASES"}</definedName>
    <definedName name="LOCA" localSheetId="8" hidden="1">{#N/A,#N/A,FALSE,"AVALUO";#N/A,#N/A,FALSE,"CONDOMINIO";#N/A,#N/A,FALSE,"IGECEM"}</definedName>
    <definedName name="LOCA" hidden="1">{#N/A,#N/A,FALSE,"AVALUO";#N/A,#N/A,FALSE,"CONDOMINIO";#N/A,#N/A,FALSE,"IGECEM"}</definedName>
    <definedName name="localizacion" localSheetId="8" hidden="1">{#N/A,#N/A,FALSE,"AVALUO";#N/A,#N/A,FALSE,"CONDOMINIO";#N/A,#N/A,FALSE,"IGECEM"}</definedName>
    <definedName name="localizacion" hidden="1">{#N/A,#N/A,FALSE,"AVALUO";#N/A,#N/A,FALSE,"CONDOMINIO";#N/A,#N/A,FALSE,"IGECEM"}</definedName>
    <definedName name="localizaciones" localSheetId="8" hidden="1">{#N/A,#N/A,FALSE,"AVALUO";#N/A,#N/A,FALSE,"CONDOMINIO";#N/A,#N/A,FALSE,"IGECEM"}</definedName>
    <definedName name="localizaciones" hidden="1">{#N/A,#N/A,FALSE,"AVALUO";#N/A,#N/A,FALSE,"CONDOMINIO";#N/A,#N/A,FALSE,"IGECEM"}</definedName>
    <definedName name="los" hidden="1">{"TEXTO DEL AVALUO",#N/A,TRUE,"AVALUO";"CALCULOS Y DICTAMEN",#N/A,TRUE,"CONDOMINIO"}</definedName>
    <definedName name="Lostttt" hidden="1">{"AVALUO DE TEXTO",#N/A,FALSE,"AVALUO";"CALCULOS EN CONDOMINIO",#N/A,FALSE,"CONDOMINIO"}</definedName>
    <definedName name="lpo" localSheetId="8" hidden="1">{"'Hoja1'!$B$6:$H$6"}</definedName>
    <definedName name="lpo" hidden="1">{"'Hoja1'!$B$6:$H$6"}</definedName>
    <definedName name="M" localSheetId="8" hidden="1">{"TEXTO DEL AVALUO",#N/A,FALSE,"AVALUO";"CALCULOS Y DICTAMEN",#N/A,FALSE,"CONDOMINIO"}</definedName>
    <definedName name="M" hidden="1">{"TEXTO DEL AVALUO",#N/A,FALSE,"AVALUO";"CALCULOS Y DICTAMEN",#N/A,FALSE,"CONDOMINIO"}</definedName>
    <definedName name="malecon" localSheetId="8" hidden="1">{"AVALUO DE TEXTO",#N/A,FALSE,"AVALUO";"CALCULOS EN CONDOMINIO",#N/A,FALSE,"CONDOMINIO"}</definedName>
    <definedName name="malecon" hidden="1">{"AVALUO DE TEXTO",#N/A,FALSE,"AVALUO";"CALCULOS EN CONDOMINIO",#N/A,FALSE,"CONDOMINIO"}</definedName>
    <definedName name="MANUEL" hidden="1">{#N/A,#N/A,FALSE,"AVALUO";#N/A,#N/A,FALSE,"CONDOMINIO";#N/A,#N/A,FALSE,"TDF"}</definedName>
    <definedName name="maravillas" hidden="1">{"TEXTO DEL AVALUO",#N/A,TRUE,"AVALUO";"CALCULOS Y DICTAMEN",#N/A,TRUE,"CONDOMINIO"}</definedName>
    <definedName name="marc" hidden="1">{#N/A,#N/A,FALSE,"AVALUO";#N/A,#N/A,FALSE,"CONDOMINIO";#N/A,#N/A,FALSE,"TDF"}</definedName>
    <definedName name="memo" hidden="1">{"TEXTO DEL AVALUO",#N/A,TRUE,"AVALUO";"CALCULOS Y DICTAMEN",#N/A,TRUE,"CONDOMINIO"}</definedName>
    <definedName name="memocostos" localSheetId="4" hidden="1">{#N/A,#N/A,FALSE,"AVALUO";#N/A,#N/A,FALSE,"CONDOMINIO";#N/A,#N/A,FALSE,"IGECEM"}</definedName>
    <definedName name="memocostos" localSheetId="8" hidden="1">{#N/A,#N/A,FALSE,"AVALUO";#N/A,#N/A,FALSE,"CONDOMINIO";#N/A,#N/A,FALSE,"IGECEM"}</definedName>
    <definedName name="memocostos" hidden="1">{#N/A,#N/A,FALSE,"AVALUO";#N/A,#N/A,FALSE,"CONDOMINIO";#N/A,#N/A,FALSE,"IGECEM"}</definedName>
    <definedName name="MERCADO" localSheetId="4" hidden="1">{#N/A,#N/A,FALSE,"AVALUO";#N/A,#N/A,FALSE,"CONDOMINIO";#N/A,#N/A,FALSE,"IGECEM"}</definedName>
    <definedName name="MERCADO" hidden="1">{#N/A,#N/A,FALSE,"AVALUO";#N/A,#N/A,FALSE,"CONDOMINIO";#N/A,#N/A,FALSE,"IGECEM"}</definedName>
    <definedName name="mery" hidden="1">{"'Hoja1'!$B$6:$H$6"}</definedName>
    <definedName name="mery1" hidden="1">{#N/A,#N/A,FALSE,"AVALUO";#N/A,#N/A,FALSE,"CONDOMINIO";#N/A,#N/A,FALSE,"IGECEM"}</definedName>
    <definedName name="metros" hidden="1">{"TEXTO DEL AVALUO",#N/A,TRUE,"AVALUO";"CALCULOS Y DICTAMEN",#N/A,TRUE,"CONDOMINIO"}</definedName>
    <definedName name="MEXICO" hidden="1">{#N/A,#N/A,FALSE,"AVALUO";#N/A,#N/A,FALSE,"CONDOMINIO";#N/A,#N/A,FALSE,"TDF"}</definedName>
    <definedName name="mey" hidden="1">{#N/A,#N/A,FALSE,"AVALUO";#N/A,#N/A,FALSE,"CONDOMINIO";#N/A,#N/A,FALSE,"TDF"}</definedName>
    <definedName name="mgh" localSheetId="8" hidden="1">{"TEXTO DEL AVALUO",#N/A,TRUE,"AVALUO";"CALCULOS Y DICTAMEN",#N/A,TRUE,"CONDOMINIO"}</definedName>
    <definedName name="mgh" hidden="1">{"TEXTO DEL AVALUO",#N/A,TRUE,"AVALUO";"CALCULOS Y DICTAMEN",#N/A,TRUE,"CONDOMINIO"}</definedName>
    <definedName name="mgt" hidden="1">{"AVALUO DE TEXTO",#N/A,FALSE,"AVALUO";"CALCULOS EN CONDOMINIO",#N/A,FALSE,"CONDOMINIO"}</definedName>
    <definedName name="miau" localSheetId="8" hidden="1">{"TEXTO DEL AVALUO",#N/A,TRUE,"AVALUO";"CALCULOS Y DICTAMEN",#N/A,TRUE,"CONDOMINIO"}</definedName>
    <definedName name="miau" hidden="1">{"TEXTO DEL AVALUO",#N/A,TRUE,"AVALUO";"CALCULOS Y DICTAMEN",#N/A,TRUE,"CONDOMINIO"}</definedName>
    <definedName name="miau10" localSheetId="8" hidden="1">{#N/A,#N/A,FALSE,"AVALUO";#N/A,#N/A,FALSE,"CONDOMINIO";#N/A,#N/A,FALSE,"TDF"}</definedName>
    <definedName name="miau10" hidden="1">{#N/A,#N/A,FALSE,"AVALUO";#N/A,#N/A,FALSE,"CONDOMINIO";#N/A,#N/A,FALSE,"TDF"}</definedName>
    <definedName name="miau2" localSheetId="8" hidden="1">{"TEXTO DEL AVALUO",#N/A,TRUE,"AVALUO";"CALCULOS Y DICTAMEN",#N/A,TRUE,"CONDOMINIO"}</definedName>
    <definedName name="miau2" hidden="1">{"TEXTO DEL AVALUO",#N/A,TRUE,"AVALUO";"CALCULOS Y DICTAMEN",#N/A,TRUE,"CONDOMINIO"}</definedName>
    <definedName name="miau3" localSheetId="8" hidden="1">{"TEXTO DEL AVALUO",#N/A,FALSE,"AVALUO";"CALCULOS Y DICTAMEN",#N/A,FALSE,"CONDOMINIO"}</definedName>
    <definedName name="miau3" hidden="1">{"TEXTO DEL AVALUO",#N/A,FALSE,"AVALUO";"CALCULOS Y DICTAMEN",#N/A,FALSE,"CONDOMINIO"}</definedName>
    <definedName name="miau4" localSheetId="8" hidden="1">{#N/A,#N/A,FALSE,"AVALUO";#N/A,#N/A,FALSE,"CONDOMINIO";#N/A,#N/A,FALSE,"IGECEM"}</definedName>
    <definedName name="miau4" hidden="1">{#N/A,#N/A,FALSE,"AVALUO";#N/A,#N/A,FALSE,"CONDOMINIO";#N/A,#N/A,FALSE,"IGECEM"}</definedName>
    <definedName name="miau5" localSheetId="8" hidden="1">{#N/A,#N/A,FALSE,"AVALUO";#N/A,#N/A,FALSE,"CONDOMINIO";#N/A,#N/A,FALSE,"TDF"}</definedName>
    <definedName name="miau5" hidden="1">{#N/A,#N/A,FALSE,"AVALUO";#N/A,#N/A,FALSE,"CONDOMINIO";#N/A,#N/A,FALSE,"TDF"}</definedName>
    <definedName name="miau6" localSheetId="8" hidden="1">{#N/A,#N/A,FALSE,"AVALUO";#N/A,#N/A,FALSE,"CONDOMINIO";#N/A,#N/A,FALSE,"IGECEM"}</definedName>
    <definedName name="miau6" hidden="1">{#N/A,#N/A,FALSE,"AVALUO";#N/A,#N/A,FALSE,"CONDOMINIO";#N/A,#N/A,FALSE,"IGECEM"}</definedName>
    <definedName name="miau7" localSheetId="8" hidden="1">{#N/A,#N/A,FALSE,"AVALUO";#N/A,#N/A,FALSE,"CONDOMINIO";#N/A,#N/A,FALSE,"IGECEM"}</definedName>
    <definedName name="miau7" hidden="1">{#N/A,#N/A,FALSE,"AVALUO";#N/A,#N/A,FALSE,"CONDOMINIO";#N/A,#N/A,FALSE,"IGECEM"}</definedName>
    <definedName name="miau8" localSheetId="8" hidden="1">{#N/A,#N/A,FALSE,"AVALUO";#N/A,#N/A,FALSE,"CONDOMINIO";#N/A,#N/A,FALSE,"IGECEM"}</definedName>
    <definedName name="miau8" hidden="1">{#N/A,#N/A,FALSE,"AVALUO";#N/A,#N/A,FALSE,"CONDOMINIO";#N/A,#N/A,FALSE,"IGECEM"}</definedName>
    <definedName name="miau9" localSheetId="8" hidden="1">{#N/A,#N/A,FALSE,"avaluo";#N/A,#N/A,FALSE,"fisico";#N/A,#N/A,FALSE,"rentas";#N/A,#N/A,FALSE,"deducciones";#N/A,#N/A,FALSE,"tasas";#N/A,#N/A,FALSE,"homolog";#N/A,#N/A,FALSE,"regresion";#N/A,#N/A,FALSE,"investigacion"}</definedName>
    <definedName name="miau9" hidden="1">{#N/A,#N/A,FALSE,"avaluo";#N/A,#N/A,FALSE,"fisico";#N/A,#N/A,FALSE,"rentas";#N/A,#N/A,FALSE,"deducciones";#N/A,#N/A,FALSE,"tasas";#N/A,#N/A,FALSE,"homolog";#N/A,#N/A,FALSE,"regresion";#N/A,#N/A,FALSE,"investigacion"}</definedName>
    <definedName name="miros" hidden="1">{#N/A,#N/A,FALSE,"AVALUO";#N/A,#N/A,FALSE,"CONDOMINIO";#N/A,#N/A,FALSE,"TDF"}</definedName>
    <definedName name="mjh" hidden="1">{"AVALUO DE TEXTO",#N/A,FALSE,"AVALUO";"CALCULOS EN CONDOMINIO",#N/A,FALSE,"CONDOMINIO"}</definedName>
    <definedName name="ML" localSheetId="8" hidden="1">{#N/A,#N/A,FALSE,"AVALUO";#N/A,#N/A,FALSE,"CONDOMINIO";#N/A,#N/A,FALSE,"IGECEM"}</definedName>
    <definedName name="ML" hidden="1">{#N/A,#N/A,FALSE,"AVALUO";#N/A,#N/A,FALSE,"CONDOMINIO";#N/A,#N/A,FALSE,"IGECEM"}</definedName>
    <definedName name="mm" localSheetId="4" hidden="1">{#N/A,#N/A,FALSE,"AVALUO";#N/A,#N/A,FALSE,"CONDOMINIO";#N/A,#N/A,FALSE,"IGECEM"}</definedName>
    <definedName name="mm" localSheetId="8" hidden="1">{#N/A,#N/A,FALSE,"AVALUO";#N/A,#N/A,FALSE,"CONDOMINIO";#N/A,#N/A,FALSE,"IGECEM"}</definedName>
    <definedName name="mm" hidden="1">{#N/A,#N/A,FALSE,"AVALUO";#N/A,#N/A,FALSE,"CONDOMINIO";#N/A,#N/A,FALSE,"IGECEM"}</definedName>
    <definedName name="mmmm" hidden="1">{"TEXTO DEL AVALUO",#N/A,TRUE,"AVALUO";"CALCULOS Y DICTAMEN",#N/A,TRUE,"CONDOMINIO"}</definedName>
    <definedName name="mmmmmmmmmmmmmmmmmmmm" hidden="1">{"'Hoja1'!$B$6:$H$6"}</definedName>
    <definedName name="MMMMMMMMMMMMMMMMMMMMMMM" hidden="1">{#N/A,#N/A,FALSE,"AVALUO";#N/A,#N/A,FALSE,"CONDOMINIO";#N/A,#N/A,FALSE,"TDF"}</definedName>
    <definedName name="mmmmmmmmmmmmmmmmmmmmmmmm" hidden="1">{#N/A,#N/A,FALSE,"AVALUO";#N/A,#N/A,FALSE,"CONDOMINIO";#N/A,#N/A,FALSE,"TDF"}</definedName>
    <definedName name="mmmmmmmmmmmmmmmmmmmmmmmmm" hidden="1">{#N/A,#N/A,FALSE,"AVALUO";#N/A,#N/A,FALSE,"CONDOMINIO";#N/A,#N/A,FALSE,"TDF"}</definedName>
    <definedName name="mmprueba" localSheetId="4" hidden="1">{#N/A,#N/A,FALSE,"AVALUO";#N/A,#N/A,FALSE,"CONDOMINIO";#N/A,#N/A,FALSE,"TDF"}</definedName>
    <definedName name="mmprueba" localSheetId="8" hidden="1">{#N/A,#N/A,FALSE,"AVALUO";#N/A,#N/A,FALSE,"CONDOMINIO";#N/A,#N/A,FALSE,"TDF"}</definedName>
    <definedName name="mmprueba" hidden="1">{#N/A,#N/A,FALSE,"AVALUO";#N/A,#N/A,FALSE,"CONDOMINIO";#N/A,#N/A,FALSE,"TDF"}</definedName>
    <definedName name="mnb" hidden="1">{#N/A,#N/A,FALSE,"AVALUO";#N/A,#N/A,FALSE,"CONDOMINIO";#N/A,#N/A,FALSE,"TDF"}</definedName>
    <definedName name="mobiliario" localSheetId="8" hidden="1">{#N/A,#N/A,FALSE,"AVALUO";#N/A,#N/A,FALSE,"CONDOMINIO";#N/A,#N/A,FALSE,"TDF"}</definedName>
    <definedName name="mobiliario" hidden="1">{#N/A,#N/A,FALSE,"AVALUO";#N/A,#N/A,FALSE,"CONDOMINIO";#N/A,#N/A,FALSE,"TDF"}</definedName>
    <definedName name="modelo" hidden="1">{#N/A,#N/A,FALSE,"AVALUO";#N/A,#N/A,FALSE,"CONDOMINIO";#N/A,#N/A,FALSE,"IGECEM"}</definedName>
    <definedName name="modem" hidden="1">{#N/A,#N/A,FALSE,"AVALUO";#N/A,#N/A,FALSE,"CONDOMINIO";#N/A,#N/A,FALSE,"IGECEM"}</definedName>
    <definedName name="mol" localSheetId="8" hidden="1">{#N/A,#N/A,FALSE,"AVALUO";#N/A,#N/A,FALSE,"CONDOMINIO";#N/A,#N/A,FALSE,"IGECEM"}</definedName>
    <definedName name="mol" hidden="1">{#N/A,#N/A,FALSE,"AVALUO";#N/A,#N/A,FALSE,"CONDOMINIO";#N/A,#N/A,FALSE,"IGECEM"}</definedName>
    <definedName name="mshhs" localSheetId="4" hidden="1">{#N/A,#N/A,FALSE,"AVALUO";#N/A,#N/A,FALSE,"CONDOMINIO";#N/A,#N/A,FALSE,"IGECEM"}</definedName>
    <definedName name="mshhs" localSheetId="8" hidden="1">{#N/A,#N/A,FALSE,"AVALUO";#N/A,#N/A,FALSE,"CONDOMINIO";#N/A,#N/A,FALSE,"IGECEM"}</definedName>
    <definedName name="mshhs" hidden="1">{#N/A,#N/A,FALSE,"AVALUO";#N/A,#N/A,FALSE,"CONDOMINIO";#N/A,#N/A,FALSE,"IGECEM"}</definedName>
    <definedName name="msmnsns" localSheetId="8" hidden="1">{#N/A,#N/A,FALSE,"AVALUO";#N/A,#N/A,FALSE,"CONDOMINIO";#N/A,#N/A,FALSE,"TDF"}</definedName>
    <definedName name="msmnsns" hidden="1">{#N/A,#N/A,FALSE,"AVALUO";#N/A,#N/A,FALSE,"CONDOMINIO";#N/A,#N/A,FALSE,"TDF"}</definedName>
    <definedName name="muest" localSheetId="8" hidden="1">{#N/A,#N/A,FALSE,"AVALUO";#N/A,#N/A,FALSE,"CONDOMINIO";#N/A,#N/A,FALSE,"IGECEM"}</definedName>
    <definedName name="muest" hidden="1">{#N/A,#N/A,FALSE,"AVALUO";#N/A,#N/A,FALSE,"CONDOMINIO";#N/A,#N/A,FALSE,"IGECEM"}</definedName>
    <definedName name="muy" hidden="1">{"'Hoja1'!$B$6:$H$6"}</definedName>
    <definedName name="N" localSheetId="8" hidden="1">{"ANVERSO",#N/A,FALSE,"MEMBASES";"REVERSO",#N/A,FALSE,"MEMBASES"}</definedName>
    <definedName name="N" hidden="1">{"ANVERSO",#N/A,FALSE,"MEMBASES";"REVERSO",#N/A,FALSE,"MEMBASES"}</definedName>
    <definedName name="nacho" hidden="1">{#N/A,#N/A,FALSE,"AVALUO";#N/A,#N/A,FALSE,"CONDOMINIO";#N/A,#N/A,FALSE,"TDF"}</definedName>
    <definedName name="nada" hidden="1">{"'Hoja1'!$B$6:$H$6"}</definedName>
    <definedName name="nbbbbbbbbbbbbbbbbbbbbbbbbbb" localSheetId="8" hidden="1">{"TEXTO DEL AVALUO",#N/A,FALSE,"AVALUO";"CALCULOS Y DICTAMEN",#N/A,FALSE,"CONDOMINIO"}</definedName>
    <definedName name="nbbbbbbbbbbbbbbbbbbbbbbbbbb" hidden="1">{"TEXTO DEL AVALUO",#N/A,FALSE,"AVALUO";"CALCULOS Y DICTAMEN",#N/A,FALSE,"CONDOMINIO"}</definedName>
    <definedName name="nbvn" localSheetId="8" hidden="1">{"AVALUO DE TEXTO",#N/A,FALSE,"AVALUO";"CALCULOS EN CONDOMINIO",#N/A,FALSE,"CONDOMINIO"}</definedName>
    <definedName name="nbvn" hidden="1">{"AVALUO DE TEXTO",#N/A,FALSE,"AVALUO";"CALCULOS EN CONDOMINIO",#N/A,FALSE,"CONDOMINIO"}</definedName>
    <definedName name="ncbv" hidden="1">{#N/A,#N/A,FALSE,"AVALUO";#N/A,#N/A,FALSE,"CONDOMINIO";#N/A,#N/A,FALSE,"IGECEM"}</definedName>
    <definedName name="ncvnf" localSheetId="8" hidden="1">{"ANVERSO",#N/A,FALSE,"MEMBASES";"REVERSO",#N/A,FALSE,"MEMBASES"}</definedName>
    <definedName name="ncvnf" hidden="1">{"ANVERSO",#N/A,FALSE,"MEMBASES";"REVERSO",#N/A,FALSE,"MEMBASES"}</definedName>
    <definedName name="nebraska" localSheetId="8" hidden="1">{#N/A,#N/A,FALSE,"AVALUO";#N/A,#N/A,FALSE,"CONDOMINIO";#N/A,#N/A,FALSE,"IGECEM"}</definedName>
    <definedName name="nebraska" hidden="1">{#N/A,#N/A,FALSE,"AVALUO";#N/A,#N/A,FALSE,"CONDOMINIO";#N/A,#N/A,FALSE,"IGECEM"}</definedName>
    <definedName name="nhg" hidden="1">{#N/A,#N/A,FALSE,"AVALUO";#N/A,#N/A,FALSE,"CONDOMINIO";#N/A,#N/A,FALSE,"TDF"}</definedName>
    <definedName name="ni" hidden="1">{"TEXTO DEL AVALUO",#N/A,TRUE,"AVALUO";"CALCULOS Y DICTAMEN",#N/A,TRUE,"CONDOMINIO"}</definedName>
    <definedName name="nmbv" localSheetId="8" hidden="1">{"TEXTO DEL AVALUO",#N/A,TRUE,"AVALUO";"CALCULOS Y DICTAMEN",#N/A,TRUE,"CONDOMINIO"}</definedName>
    <definedName name="nmbv" hidden="1">{"TEXTO DEL AVALUO",#N/A,TRUE,"AVALUO";"CALCULOS Y DICTAMEN",#N/A,TRUE,"CONDOMINIO"}</definedName>
    <definedName name="nmj" hidden="1">{#N/A,#N/A,FALSE,"AVALUO";#N/A,#N/A,FALSE,"CONDOMINIO";#N/A,#N/A,FALSE,"TDF"}</definedName>
    <definedName name="nn" hidden="1">{"'Hoja1'!$B$6:$H$6"}</definedName>
    <definedName name="NUEVE" hidden="1">{"AVALUO DE TEXTO",#N/A,FALSE,"AVALUO";"CALCULOS EN CONDOMINIO",#N/A,FALSE,"CONDOMINIO"}</definedName>
    <definedName name="NUME" hidden="1">{#N/A,#N/A,FALSE,"AVALUO";#N/A,#N/A,FALSE,"CONDOMINIO";#N/A,#N/A,FALSE,"TDF"}</definedName>
    <definedName name="NUMER" hidden="1">{#N/A,#N/A,FALSE,"AVALUO";#N/A,#N/A,FALSE,"CONDOMINIO";#N/A,#N/A,FALSE,"TDF"}</definedName>
    <definedName name="NUMEREEE" localSheetId="8" hidden="1">{#N/A,#N/A,FALSE,"AVALUO";#N/A,#N/A,FALSE,"CONDOMINIO";#N/A,#N/A,FALSE,"TDF"}</definedName>
    <definedName name="NUMEREEE" hidden="1">{#N/A,#N/A,FALSE,"AVALUO";#N/A,#N/A,FALSE,"CONDOMINIO";#N/A,#N/A,FALSE,"TDF"}</definedName>
    <definedName name="NUMERO" localSheetId="4" hidden="1">{#N/A,#N/A,FALSE,"AVALUO";#N/A,#N/A,FALSE,"CONDOMINIO";#N/A,#N/A,FALSE,"TDF"}</definedName>
    <definedName name="NUMERO" localSheetId="8" hidden="1">{#N/A,#N/A,FALSE,"AVALUO";#N/A,#N/A,FALSE,"CONDOMINIO";#N/A,#N/A,FALSE,"TDF"}</definedName>
    <definedName name="NUMERO" hidden="1">{#N/A,#N/A,FALSE,"AVALUO";#N/A,#N/A,FALSE,"CONDOMINIO";#N/A,#N/A,FALSE,"TDF"}</definedName>
    <definedName name="numeroletra" localSheetId="4" hidden="1">{#N/A,#N/A,FALSE,"AVALUO";#N/A,#N/A,FALSE,"CONDOMINIO";#N/A,#N/A,FALSE,"TDF"}</definedName>
    <definedName name="numeroletra" localSheetId="8" hidden="1">{#N/A,#N/A,FALSE,"AVALUO";#N/A,#N/A,FALSE,"CONDOMINIO";#N/A,#N/A,FALSE,"TDF"}</definedName>
    <definedName name="numeroletra" hidden="1">{#N/A,#N/A,FALSE,"AVALUO";#N/A,#N/A,FALSE,"CONDOMINIO";#N/A,#N/A,FALSE,"TDF"}</definedName>
    <definedName name="Numyletra" localSheetId="4" hidden="1">{"TEXTO DEL AVALUO",#N/A,TRUE,"AVALUO";"CALCULOS Y DICTAMEN",#N/A,TRUE,"CONDOMINIO"}</definedName>
    <definedName name="Numyletra" localSheetId="8" hidden="1">{"TEXTO DEL AVALUO",#N/A,TRUE,"AVALUO";"CALCULOS Y DICTAMEN",#N/A,TRUE,"CONDOMINIO"}</definedName>
    <definedName name="Numyletra" hidden="1">{"TEXTO DEL AVALUO",#N/A,TRUE,"AVALUO";"CALCULOS Y DICTAMEN",#N/A,TRUE,"CONDOMINIO"}</definedName>
    <definedName name="ñkl" hidden="1">{#N/A,#N/A,FALSE,"AVALUO";#N/A,#N/A,FALSE,"CONDOMINIO";#N/A,#N/A,FALSE,"IGECEM"}</definedName>
    <definedName name="ÑÑÑÑÑÑÑÑÑ" hidden="1">{"TEXTO DEL AVALUO",#N/A,TRUE,"AVALUO";"CALCULOS Y DICTAMEN",#N/A,TRUE,"CONDOMINIO"}</definedName>
    <definedName name="ÑÑÑÑÑÑÑÑÑÑÑÑ" hidden="1">{"TEXTO DEL AVALUO",#N/A,TRUE,"AVALUO";"CALCULOS Y DICTAMEN",#N/A,TRUE,"CONDOMINIO"}</definedName>
    <definedName name="ñp" hidden="1">{"ANVERSO",#N/A,FALSE,"MEMBASES";"REVERSO",#N/A,FALSE,"MEMBASES"}</definedName>
    <definedName name="O" hidden="1">{"TEXTO DEL AVALUO",#N/A,TRUE,"AVALUO";"CALCULOS Y DICTAMEN",#N/A,TRUE,"CONDOMINIO"}</definedName>
    <definedName name="OCHO" hidden="1">{#N/A,#N/A,FALSE,"AVALUO";#N/A,#N/A,FALSE,"CONDOMINIO";#N/A,#N/A,FALSE,"IGECEM"}</definedName>
    <definedName name="omar" hidden="1">{#N/A,#N/A,FALSE,"AVALUO";#N/A,#N/A,FALSE,"CONDOMINIO";#N/A,#N/A,FALSE,"TDF"}</definedName>
    <definedName name="ONCE" hidden="1">{#N/A,#N/A,FALSE,"AVALUO";#N/A,#N/A,FALSE,"CONDOMINIO";#N/A,#N/A,FALSE,"TDF"}</definedName>
    <definedName name="ooooo" localSheetId="8" hidden="1">{"TEXTO DEL AVALUO",#N/A,TRUE,"AVALUO";"CALCULOS Y DICTAMEN",#N/A,TRUE,"CONDOMINIO"}</definedName>
    <definedName name="ooooo" hidden="1">{"TEXTO DEL AVALUO",#N/A,TRUE,"AVALUO";"CALCULOS Y DICTAMEN",#N/A,TRUE,"CONDOMINIO"}</definedName>
    <definedName name="oooooooo" localSheetId="8" hidden="1">{"AVALUO DE TEXTO",#N/A,FALSE,"AVALUO";"CALCULOS EN CONDOMINIO",#N/A,FALSE,"CONDOMINIO"}</definedName>
    <definedName name="oooooooo" hidden="1">{"AVALUO DE TEXTO",#N/A,FALSE,"AVALUO";"CALCULOS EN CONDOMINIO",#N/A,FALSE,"CONDOMINIO"}</definedName>
    <definedName name="ooooooooo" localSheetId="8" hidden="1">{"AVALUO DE TEXTO",#N/A,FALSE,"AVALUO";"CALCULOS EN CONDOMINIO",#N/A,FALSE,"CONDOMINIO"}</definedName>
    <definedName name="ooooooooo" hidden="1">{"AVALUO DE TEXTO",#N/A,FALSE,"AVALUO";"CALCULOS EN CONDOMINIO",#N/A,FALSE,"CONDOMINIO"}</definedName>
    <definedName name="OP" localSheetId="8" hidden="1">{#N/A,#N/A,FALSE,"AVALUO";#N/A,#N/A,FALSE,"CONDOMINIO";#N/A,#N/A,FALSE,"TDF"}</definedName>
    <definedName name="OP" hidden="1">{#N/A,#N/A,FALSE,"AVALUO";#N/A,#N/A,FALSE,"CONDOMINIO";#N/A,#N/A,FALSE,"TDF"}</definedName>
    <definedName name="OPIOP" localSheetId="8" hidden="1">{"TEXTO DEL AVALUO",#N/A,TRUE,"AVALUO";"CALCULOS Y DICTAMEN",#N/A,TRUE,"CONDOMINIO"}</definedName>
    <definedName name="OPIOP" hidden="1">{"TEXTO DEL AVALUO",#N/A,TRUE,"AVALUO";"CALCULOS Y DICTAMEN",#N/A,TRUE,"CONDOMINIO"}</definedName>
    <definedName name="OSCAR" hidden="1">{#N/A,#N/A,FALSE,"AVALUO";#N/A,#N/A,FALSE,"CONDOMINIO";#N/A,#N/A,FALSE,"TDF"}</definedName>
    <definedName name="OTRO1" localSheetId="8" hidden="1">{"TEXTO DEL AVALUO",#N/A,TRUE,"AVALUO";"CALCULOS Y DICTAMEN",#N/A,TRUE,"CONDOMINIO"}</definedName>
    <definedName name="OTRO1" hidden="1">{"TEXTO DEL AVALUO",#N/A,TRUE,"AVALUO";"CALCULOS Y DICTAMEN",#N/A,TRUE,"CONDOMINIO"}</definedName>
    <definedName name="OTRO2" localSheetId="8" hidden="1">{"TEXTO DEL AVALUO",#N/A,TRUE,"AVALUO";"CALCULOS Y DICTAMEN",#N/A,TRUE,"CONDOMINIO"}</definedName>
    <definedName name="OTRO2" hidden="1">{"TEXTO DEL AVALUO",#N/A,TRUE,"AVALUO";"CALCULOS Y DICTAMEN",#N/A,TRUE,"CONDOMINIO"}</definedName>
    <definedName name="OTRO3" localSheetId="8" hidden="1">{"TEXTO DEL AVALUO",#N/A,FALSE,"AVALUO";"CALCULOS Y DICTAMEN",#N/A,FALSE,"CONDOMINIO"}</definedName>
    <definedName name="OTRO3" hidden="1">{"TEXTO DEL AVALUO",#N/A,FALSE,"AVALUO";"CALCULOS Y DICTAMEN",#N/A,FALSE,"CONDOMINIO"}</definedName>
    <definedName name="OTRO4" localSheetId="8" hidden="1">{#N/A,#N/A,FALSE,"AVALUO";#N/A,#N/A,FALSE,"CONDOMINIO";#N/A,#N/A,FALSE,"TDF"}</definedName>
    <definedName name="OTRO4" hidden="1">{#N/A,#N/A,FALSE,"AVALUO";#N/A,#N/A,FALSE,"CONDOMINIO";#N/A,#N/A,FALSE,"TDF"}</definedName>
    <definedName name="OTRO5" localSheetId="8" hidden="1">{#N/A,#N/A,FALSE,"AVALUO";#N/A,#N/A,FALSE,"CONDOMINIO";#N/A,#N/A,FALSE,"IGECEM"}</definedName>
    <definedName name="OTRO5" hidden="1">{#N/A,#N/A,FALSE,"AVALUO";#N/A,#N/A,FALSE,"CONDOMINIO";#N/A,#N/A,FALSE,"IGECEM"}</definedName>
    <definedName name="OTRO6" localSheetId="8" hidden="1">{#N/A,#N/A,FALSE,"AVALUO";#N/A,#N/A,FALSE,"CONDOMINIO";#N/A,#N/A,FALSE,"IGECEM"}</definedName>
    <definedName name="OTRO6" hidden="1">{#N/A,#N/A,FALSE,"AVALUO";#N/A,#N/A,FALSE,"CONDOMINIO";#N/A,#N/A,FALSE,"IGECEM"}</definedName>
    <definedName name="ouyoyuo" localSheetId="8" hidden="1">{"TEXTO DEL AVALUO",#N/A,TRUE,"AVALUO";"CALCULOS Y DICTAMEN",#N/A,TRUE,"CONDOMINIO"}</definedName>
    <definedName name="ouyoyuo" hidden="1">{"TEXTO DEL AVALUO",#N/A,TRUE,"AVALUO";"CALCULOS Y DICTAMEN",#N/A,TRUE,"CONDOMINIO"}</definedName>
    <definedName name="ouyuotrtyiry" localSheetId="8" hidden="1">{#N/A,#N/A,FALSE,"AVALUO";#N/A,#N/A,FALSE,"CONDOMINIO";#N/A,#N/A,FALSE,"TDF"}</definedName>
    <definedName name="ouyuotrtyiry" hidden="1">{#N/A,#N/A,FALSE,"AVALUO";#N/A,#N/A,FALSE,"CONDOMINIO";#N/A,#N/A,FALSE,"TDF"}</definedName>
    <definedName name="oyioy" hidden="1">{#N/A,#N/A,FALSE,"AVALUO";#N/A,#N/A,FALSE,"CONDOMINIO";#N/A,#N/A,FALSE,"TDF"}</definedName>
    <definedName name="OYUOYUOYU" localSheetId="8" hidden="1">{"TEXTO DEL AVALUO",#N/A,FALSE,"AVALUO";"CALCULOS Y DICTAMEN",#N/A,FALSE,"CONDOMINIO"}</definedName>
    <definedName name="OYUOYUOYU" hidden="1">{"TEXTO DEL AVALUO",#N/A,FALSE,"AVALUO";"CALCULOS Y DICTAMEN",#N/A,FALSE,"CONDOMINIO"}</definedName>
    <definedName name="papel" hidden="1">{#N/A,#N/A,FALSE,"AVALUO";#N/A,#N/A,FALSE,"CONDOMINIO";#N/A,#N/A,FALSE,"IGECEM"}</definedName>
    <definedName name="PARTE" hidden="1">{#N/A,#N/A,FALSE,"AVALUO";#N/A,#N/A,FALSE,"CONDOMINIO";#N/A,#N/A,FALSE,"TDF"}</definedName>
    <definedName name="PE" localSheetId="8" hidden="1">{#N/A,#N/A,FALSE,"AVALUO";#N/A,#N/A,FALSE,"CONDOMINIO";#N/A,#N/A,FALSE,"TDF"}</definedName>
    <definedName name="PE" hidden="1">{#N/A,#N/A,FALSE,"AVALUO";#N/A,#N/A,FALSE,"CONDOMINIO";#N/A,#N/A,FALSE,"TDF"}</definedName>
    <definedName name="pedro" hidden="1">{#N/A,#N/A,FALSE,"AVALUO";#N/A,#N/A,FALSE,"CONDOMINIO";#N/A,#N/A,FALSE,"IGECEM"}</definedName>
    <definedName name="peligro" hidden="1">{#N/A,#N/A,FALSE,"AVALUO";#N/A,#N/A,FALSE,"CONDOMINIO";#N/A,#N/A,FALSE,"TDF"}</definedName>
    <definedName name="Pensión" localSheetId="8" hidden="1">{#N/A,#N/A,FALSE,"AVALUO";#N/A,#N/A,FALSE,"CONDOMINIO";#N/A,#N/A,FALSE,"TDF"}</definedName>
    <definedName name="Pensión" hidden="1">{#N/A,#N/A,FALSE,"AVALUO";#N/A,#N/A,FALSE,"CONDOMINIO";#N/A,#N/A,FALSE,"TDF"}</definedName>
    <definedName name="PEZ" localSheetId="8" hidden="1">{#N/A,#N/A,FALSE,"AVALUO";#N/A,#N/A,FALSE,"CONDOMINIO";#N/A,#N/A,FALSE,"IGECEM"}</definedName>
    <definedName name="PEZ" hidden="1">{#N/A,#N/A,FALSE,"AVALUO";#N/A,#N/A,FALSE,"CONDOMINIO";#N/A,#N/A,FALSE,"IGECEM"}</definedName>
    <definedName name="piedra" hidden="1">{"AVALUO DE TEXTO",#N/A,FALSE,"AVALUO";"CALCULOS EN CONDOMINIO",#N/A,FALSE,"CONDOMINIO"}</definedName>
    <definedName name="PIOUIOY" localSheetId="8" hidden="1">{"TEXTO DEL AVALUO",#N/A,TRUE,"AVALUO";"CALCULOS Y DICTAMEN",#N/A,TRUE,"CONDOMINIO"}</definedName>
    <definedName name="PIOUIOY" hidden="1">{"TEXTO DEL AVALUO",#N/A,TRUE,"AVALUO";"CALCULOS Y DICTAMEN",#N/A,TRUE,"CONDOMINIO"}</definedName>
    <definedName name="pipuipuipui" localSheetId="8" hidden="1">{#N/A,#N/A,FALSE,"AVALUO";#N/A,#N/A,FALSE,"CONDOMINIO";#N/A,#N/A,FALSE,"IGECEM"}</definedName>
    <definedName name="pipuipuipui" hidden="1">{#N/A,#N/A,FALSE,"AVALUO";#N/A,#N/A,FALSE,"CONDOMINIO";#N/A,#N/A,FALSE,"IGECEM"}</definedName>
    <definedName name="plm" hidden="1">{#N/A,#N/A,FALSE,"AVALUO";#N/A,#N/A,FALSE,"CONDOMINIO";#N/A,#N/A,FALSE,"IGECEM"}</definedName>
    <definedName name="PÑ" localSheetId="8" hidden="1">{#N/A,#N/A,FALSE,"AVALUO";#N/A,#N/A,FALSE,"CONDOMINIO";#N/A,#N/A,FALSE,"IGECEM"}</definedName>
    <definedName name="PÑ" hidden="1">{#N/A,#N/A,FALSE,"AVALUO";#N/A,#N/A,FALSE,"CONDOMINIO";#N/A,#N/A,FALSE,"IGECEM"}</definedName>
    <definedName name="poi" hidden="1">{"TEXTO DEL AVALUO",#N/A,TRUE,"AVALUO";"CALCULOS Y DICTAMEN",#N/A,TRUE,"CONDOMINIO"}</definedName>
    <definedName name="POL" localSheetId="8" hidden="1">{"AVALUO DE TEXTO",#N/A,FALSE,"AVALUO";"CALCULOS EN CONDOMINIO",#N/A,FALSE,"CONDOMINIO"}</definedName>
    <definedName name="POL" hidden="1">{"AVALUO DE TEXTO",#N/A,FALSE,"AVALUO";"CALCULOS EN CONDOMINIO",#N/A,FALSE,"CONDOMINIO"}</definedName>
    <definedName name="por" localSheetId="8" hidden="1">{"TEXTO DEL AVALUO",#N/A,TRUE,"AVALUO";"CALCULOS Y DICTAMEN",#N/A,TRUE,"CONDOMINIO"}</definedName>
    <definedName name="por" hidden="1">{"TEXTO DEL AVALUO",#N/A,TRUE,"AVALUO";"CALCULOS Y DICTAMEN",#N/A,TRUE,"CONDOMINIO"}</definedName>
    <definedName name="POT" localSheetId="8" hidden="1">{#N/A,#N/A,FALSE,"AVALUO";#N/A,#N/A,FALSE,"CONDOMINIO";#N/A,#N/A,FALSE,"TDF"}</definedName>
    <definedName name="POT" hidden="1">{#N/A,#N/A,FALSE,"AVALUO";#N/A,#N/A,FALSE,"CONDOMINIO";#N/A,#N/A,FALSE,"TDF"}</definedName>
    <definedName name="ppppp" localSheetId="8" hidden="1">{#N/A,#N/A,FALSE,"AVALUO";#N/A,#N/A,FALSE,"CONDOMINIO";#N/A,#N/A,FALSE,"IGECEM"}</definedName>
    <definedName name="ppppp" hidden="1">{#N/A,#N/A,FALSE,"AVALUO";#N/A,#N/A,FALSE,"CONDOMINIO";#N/A,#N/A,FALSE,"IGECEM"}</definedName>
    <definedName name="ppppppppppppp" localSheetId="8" hidden="1">{"TEXTO DEL AVALUO",#N/A,FALSE,"AVALUO";"CALCULOS Y DICTAMEN",#N/A,FALSE,"CONDOMINIO"}</definedName>
    <definedName name="ppppppppppppp" hidden="1">{"TEXTO DEL AVALUO",#N/A,FALSE,"AVALUO";"CALCULOS Y DICTAMEN",#N/A,FALSE,"CONDOMINIO"}</definedName>
    <definedName name="PR" hidden="1">{#N/A,#N/A,FALSE,"AVALUO";#N/A,#N/A,FALSE,"CONDOMINIO";#N/A,#N/A,FALSE,"TDF"}</definedName>
    <definedName name="PRESTAMOS" hidden="1">{#N/A,#N/A,FALSE,"AVALUO";#N/A,#N/A,FALSE,"CONDOMINIO";#N/A,#N/A,FALSE,"TDF"}</definedName>
    <definedName name="PRIT" localSheetId="8" hidden="1">{#N/A,#N/A,FALSE,"AVALUO";#N/A,#N/A,FALSE,"CONDOMINIO";#N/A,#N/A,FALSE,"TDF"}</definedName>
    <definedName name="PRIT" hidden="1">{#N/A,#N/A,FALSE,"AVALUO";#N/A,#N/A,FALSE,"CONDOMINIO";#N/A,#N/A,FALSE,"TDF"}</definedName>
    <definedName name="PRUEBA2" localSheetId="8" hidden="1">{#N/A,#N/A,FALSE,"AVALUO";#N/A,#N/A,FALSE,"CONDOMINIO";#N/A,#N/A,FALSE,"TDF"}</definedName>
    <definedName name="PRUEBA2" hidden="1">{#N/A,#N/A,FALSE,"AVALUO";#N/A,#N/A,FALSE,"CONDOMINIO";#N/A,#N/A,FALSE,"TDF"}</definedName>
    <definedName name="publico" hidden="1">{#N/A,#N/A,FALSE,"AVALUO";#N/A,#N/A,FALSE,"CONDOMINIO";#N/A,#N/A,FALSE,"TDF"}</definedName>
    <definedName name="Q" hidden="1">{#N/A,#N/A,FALSE,"AVALUO";#N/A,#N/A,FALSE,"CONDOMINIO";#N/A,#N/A,FALSE,"TDF"}</definedName>
    <definedName name="QE" localSheetId="8" hidden="1">{"ANVERSO",#N/A,FALSE,"MEMBASES";"REVERSO",#N/A,FALSE,"MEMBASES"}</definedName>
    <definedName name="QE" hidden="1">{"ANVERSO",#N/A,FALSE,"MEMBASES";"REVERSO",#N/A,FALSE,"MEMBASES"}</definedName>
    <definedName name="QER" hidden="1">{#N/A,#N/A,FALSE,"AVALUO";#N/A,#N/A,FALSE,"CONDOMINIO";#N/A,#N/A,FALSE,"TDF"}</definedName>
    <definedName name="qpo" hidden="1">{#N/A,#N/A,FALSE,"avaluo";#N/A,#N/A,FALSE,"fisico";#N/A,#N/A,FALSE,"rentas";#N/A,#N/A,FALSE,"deducciones";#N/A,#N/A,FALSE,"tasas";#N/A,#N/A,FALSE,"homolog";#N/A,#N/A,FALSE,"regresion";#N/A,#N/A,FALSE,"investigacion"}</definedName>
    <definedName name="QQ" hidden="1">{#N/A,#N/A,FALSE,"AVALUO";#N/A,#N/A,FALSE,"CONDOMINIO";#N/A,#N/A,FALSE,"IGECEM"}</definedName>
    <definedName name="QR" hidden="1">{"TEXTO DEL AVALUO",#N/A,TRUE,"AVALUO";"CALCULOS Y DICTAMEN",#N/A,TRUE,"CONDOMINIO"}</definedName>
    <definedName name="quepasa" hidden="1">{"TEXTO DEL AVALUO",#N/A,FALSE,"AVALUO";"CALCULOS Y DICTAMEN",#N/A,FALSE,"CONDOMINIO"}</definedName>
    <definedName name="QW" localSheetId="8" hidden="1">{"AVALUO DE TEXTO",#N/A,FALSE,"AVALUO";"CALCULOS EN CONDOMINIO",#N/A,FALSE,"CONDOMINIO"}</definedName>
    <definedName name="QW" hidden="1">{"AVALUO DE TEXTO",#N/A,FALSE,"AVALUO";"CALCULOS EN CONDOMINIO",#N/A,FALSE,"CONDOMINIO"}</definedName>
    <definedName name="qwe" localSheetId="8" hidden="1">{#N/A,#N/A,FALSE,"AVALUO";#N/A,#N/A,FALSE,"CONDOMINIO";#N/A,#N/A,FALSE,"TDF"}</definedName>
    <definedName name="qwe" hidden="1">{#N/A,#N/A,FALSE,"AVALUO";#N/A,#N/A,FALSE,"CONDOMINIO";#N/A,#N/A,FALSE,"TDF"}</definedName>
    <definedName name="RAUL" hidden="1">{#N/A,#N/A,FALSE,"DICFIN"}</definedName>
    <definedName name="rdx" hidden="1">{#N/A,#N/A,FALSE,"AVALUO";#N/A,#N/A,FALSE,"CONDOMINIO";#N/A,#N/A,FALSE,"TDF"}</definedName>
    <definedName name="Recuadros" localSheetId="8" hidden="1">{#N/A,#N/A,FALSE,"AVALUO";#N/A,#N/A,FALSE,"CONDOMINIO";#N/A,#N/A,FALSE,"IGECEM"}</definedName>
    <definedName name="Recuadros" hidden="1">{#N/A,#N/A,FALSE,"AVALUO";#N/A,#N/A,FALSE,"CONDOMINIO";#N/A,#N/A,FALSE,"IGECEM"}</definedName>
    <definedName name="REF." localSheetId="8" hidden="1">{#N/A,#N/A,FALSE,"AVALUO";#N/A,#N/A,FALSE,"CONDOMINIO";#N/A,#N/A,FALSE,"IGECEM"}</definedName>
    <definedName name="REF." hidden="1">{#N/A,#N/A,FALSE,"AVALUO";#N/A,#N/A,FALSE,"CONDOMINIO";#N/A,#N/A,FALSE,"IGECEM"}</definedName>
    <definedName name="rent" hidden="1">{#N/A,#N/A,FALSE,"AVALUO";#N/A,#N/A,FALSE,"CONDOMINIO";#N/A,#N/A,FALSE,"IGECEM"}</definedName>
    <definedName name="RENTA" localSheetId="8" hidden="1">{#N/A,#N/A,FALSE,"AVALUO";#N/A,#N/A,FALSE,"CONDOMINIO";#N/A,#N/A,FALSE,"TDF"}</definedName>
    <definedName name="RENTA" hidden="1">{#N/A,#N/A,FALSE,"AVALUO";#N/A,#N/A,FALSE,"CONDOMINIO";#N/A,#N/A,FALSE,"TDF"}</definedName>
    <definedName name="RENTAESTACIO" localSheetId="8" hidden="1">{#N/A,#N/A,FALSE,"AVALUO";#N/A,#N/A,FALSE,"CONDOMINIO";#N/A,#N/A,FALSE,"IGECEM"}</definedName>
    <definedName name="RENTAESTACIO" hidden="1">{#N/A,#N/A,FALSE,"AVALUO";#N/A,#N/A,FALSE,"CONDOMINIO";#N/A,#N/A,FALSE,"IGECEM"}</definedName>
    <definedName name="RENTAS" localSheetId="8" hidden="1">{#N/A,#N/A,FALSE,"AVALUO";#N/A,#N/A,FALSE,"CONDOMINIO";#N/A,#N/A,FALSE,"IGECEM"}</definedName>
    <definedName name="RENTAS" hidden="1">{#N/A,#N/A,FALSE,"AVALUO";#N/A,#N/A,FALSE,"CONDOMINIO";#N/A,#N/A,FALSE,"IGECEM"}</definedName>
    <definedName name="rente" localSheetId="8" hidden="1">{#N/A,#N/A,FALSE,"AVALUO";#N/A,#N/A,FALSE,"CONDOMINIO";#N/A,#N/A,FALSE,"TDF"}</definedName>
    <definedName name="rente" hidden="1">{#N/A,#N/A,FALSE,"AVALUO";#N/A,#N/A,FALSE,"CONDOMINIO";#N/A,#N/A,FALSE,"TDF"}</definedName>
    <definedName name="REQ" hidden="1">{"TEXTO DEL AVALUO",#N/A,TRUE,"AVALUO";"CALCULOS Y DICTAMEN",#N/A,TRUE,"CONDOMINIO"}</definedName>
    <definedName name="REQREQR" hidden="1">{#N/A,#N/A,FALSE,"AVALUO";#N/A,#N/A,FALSE,"CONDOMINIO";#N/A,#N/A,FALSE,"TDF"}</definedName>
    <definedName name="RESUMEN" localSheetId="4" hidden="1">#REF!</definedName>
    <definedName name="RESUMEN" hidden="1">#REF!</definedName>
    <definedName name="rf" localSheetId="8" hidden="1">{#N/A,#N/A,FALSE,"AVALUO";#N/A,#N/A,FALSE,"CONDOMINIO";#N/A,#N/A,FALSE,"IGECEM"}</definedName>
    <definedName name="rf" hidden="1">{#N/A,#N/A,FALSE,"AVALUO";#N/A,#N/A,FALSE,"CONDOMINIO";#N/A,#N/A,FALSE,"IGECEM"}</definedName>
    <definedName name="RH" localSheetId="8" hidden="1">{#N/A,#N/A,FALSE,"AVALUO";#N/A,#N/A,FALSE,"CONDOMINIO";#N/A,#N/A,FALSE,"TDF"}</definedName>
    <definedName name="RH" hidden="1">{#N/A,#N/A,FALSE,"AVALUO";#N/A,#N/A,FALSE,"CONDOMINIO";#N/A,#N/A,FALSE,"TDF"}</definedName>
    <definedName name="RIEGO" hidden="1">{"ANVERSO",#N/A,FALSE,"MEMBASES";"REVERSO",#N/A,FALSE,"MEMBASES"}</definedName>
    <definedName name="RQRT" hidden="1">{"AVALUO DE TEXTO",#N/A,FALSE,"AVALUO";"CALCULOS EN CONDOMINIO",#N/A,FALSE,"CONDOMINIO"}</definedName>
    <definedName name="RR" localSheetId="8" hidden="1">{#N/A,#N/A,FALSE,"AVALUO";#N/A,#N/A,FALSE,"CONDOMINIO";#N/A,#N/A,FALSE,"IGECEM"}</definedName>
    <definedName name="RR" hidden="1">{#N/A,#N/A,FALSE,"AVALUO";#N/A,#N/A,FALSE,"CONDOMINIO";#N/A,#N/A,FALSE,"IGECEM"}</definedName>
    <definedName name="rrr" localSheetId="8" hidden="1">{#N/A,#N/A,FALSE,"AVALUO";#N/A,#N/A,FALSE,"CONDOMINIO";#N/A,#N/A,FALSE,"TDF"}</definedName>
    <definedName name="rrr" hidden="1">{#N/A,#N/A,FALSE,"AVALUO";#N/A,#N/A,FALSE,"CONDOMINIO";#N/A,#N/A,FALSE,"TDF"}</definedName>
    <definedName name="rrrr" localSheetId="8" hidden="1">{#N/A,#N/A,FALSE,"AVALUO";#N/A,#N/A,FALSE,"CONDOMINIO";#N/A,#N/A,FALSE,"TDF"}</definedName>
    <definedName name="rrrr" hidden="1">{#N/A,#N/A,FALSE,"AVALUO";#N/A,#N/A,FALSE,"CONDOMINIO";#N/A,#N/A,FALSE,"TDF"}</definedName>
    <definedName name="rrrrrrrrrrrrrrrew" localSheetId="8" hidden="1">{"ANVERSO",#N/A,FALSE,"MEMBASES";"REVERSO",#N/A,FALSE,"MEMBASES"}</definedName>
    <definedName name="rrrrrrrrrrrrrrrew" hidden="1">{"ANVERSO",#N/A,FALSE,"MEMBASES";"REVERSO",#N/A,FALSE,"MEMBASES"}</definedName>
    <definedName name="rrrrrrrrrrrrrrrrrrrr" localSheetId="8" hidden="1">{"AVALUO DE TEXTO",#N/A,FALSE,"AVALUO";"CALCULOS EN CONDOMINIO",#N/A,FALSE,"CONDOMINIO"}</definedName>
    <definedName name="rrrrrrrrrrrrrrrrrrrr" hidden="1">{"AVALUO DE TEXTO",#N/A,FALSE,"AVALUO";"CALCULOS EN CONDOMINIO",#N/A,FALSE,"CONDOMINIO"}</definedName>
    <definedName name="RSC" localSheetId="8" hidden="1">{#N/A,#N/A,FALSE,"AVALUO";#N/A,#N/A,FALSE,"CONDOMINIO";#N/A,#N/A,FALSE,"TDF"}</definedName>
    <definedName name="RSC" hidden="1">{#N/A,#N/A,FALSE,"AVALUO";#N/A,#N/A,FALSE,"CONDOMINIO";#N/A,#N/A,FALSE,"TDF"}</definedName>
    <definedName name="RTQRT" hidden="1">{"ANVERSO",#N/A,FALSE,"MEMBASES";"REVERSO",#N/A,FALSE,"MEMBASES"}</definedName>
    <definedName name="RTUTUTR" localSheetId="8" hidden="1">{#N/A,#N/A,FALSE,"AVALUO";#N/A,#N/A,FALSE,"CONDOMINIO";#N/A,#N/A,FALSE,"IGECEM"}</definedName>
    <definedName name="RTUTUTR" hidden="1">{#N/A,#N/A,FALSE,"AVALUO";#N/A,#N/A,FALSE,"CONDOMINIO";#N/A,#N/A,FALSE,"IGECEM"}</definedName>
    <definedName name="RYJKRYKUL" localSheetId="8" hidden="1">{"ANVERSO",#N/A,FALSE,"MEMBASES";"REVERSO",#N/A,FALSE,"MEMBASES"}</definedName>
    <definedName name="RYJKRYKUL" hidden="1">{"ANVERSO",#N/A,FALSE,"MEMBASES";"REVERSO",#N/A,FALSE,"MEMBASES"}</definedName>
    <definedName name="S" localSheetId="8" hidden="1">{"TEXTO DEL AVALUO",#N/A,TRUE,"AVALUO";"CALCULOS Y DICTAMEN",#N/A,TRUE,"CONDOMINIO"}</definedName>
    <definedName name="S" hidden="1">{"TEXTO DEL AVALUO",#N/A,TRUE,"AVALUO";"CALCULOS Y DICTAMEN",#N/A,TRUE,"CONDOMINIO"}</definedName>
    <definedName name="sa" localSheetId="8" hidden="1">{#N/A,#N/A,FALSE,"AVALUO";#N/A,#N/A,FALSE,"CONDOMINIO";#N/A,#N/A,FALSE,"IGECEM"}</definedName>
    <definedName name="SA" hidden="1">{"ANVERSO",#N/A,FALSE,"MEMBASES";"REVERSO",#N/A,FALSE,"MEMBASES"}</definedName>
    <definedName name="SAL" localSheetId="8" hidden="1">{"TEXTO DEL AVALUO",#N/A,FALSE,"AVALUO";"CALCULOS Y DICTAMEN",#N/A,FALSE,"CONDOMINIO"}</definedName>
    <definedName name="SAL" hidden="1">{"TEXTO DEL AVALUO",#N/A,FALSE,"AVALUO";"CALCULOS Y DICTAMEN",#N/A,FALSE,"CONDOMINIO"}</definedName>
    <definedName name="salida" hidden="1">{#N/A,#N/A,FALSE,"AVALUO";#N/A,#N/A,FALSE,"CONDOMINIO";#N/A,#N/A,FALSE,"TDF"}</definedName>
    <definedName name="salir" hidden="1">{"ANVERSO",#N/A,FALSE,"MEMBASES";"REVERSO",#N/A,FALSE,"MEMBASES"}</definedName>
    <definedName name="salma" hidden="1">{#N/A,#N/A,FALSE,"AVALUO";#N/A,#N/A,FALSE,"CONDOMINIO";#N/A,#N/A,FALSE,"TDF"}</definedName>
    <definedName name="salon" hidden="1">{"ANVERSO",#N/A,FALSE,"MEMBASES";"REVERSO",#N/A,FALSE,"MEMBASES"}</definedName>
    <definedName name="saludos" hidden="1">{#N/A,#N/A,FALSE,"AVALUO";#N/A,#N/A,FALSE,"CONDOMINIO";#N/A,#N/A,FALSE,"IGECEM"}</definedName>
    <definedName name="salvador" hidden="1">{"'Hoja1'!$B$6:$H$6"}</definedName>
    <definedName name="SAM" localSheetId="8" hidden="1">{#N/A,#N/A,FALSE,"AVALUO";#N/A,#N/A,FALSE,"CONDOMINIO";#N/A,#N/A,FALSE,"TDF"}</definedName>
    <definedName name="SAM" hidden="1">{#N/A,#N/A,FALSE,"AVALUO";#N/A,#N/A,FALSE,"CONDOMINIO";#N/A,#N/A,FALSE,"TDF"}</definedName>
    <definedName name="SAMA" localSheetId="8" hidden="1">{#N/A,#N/A,FALSE,"AVALUO";#N/A,#N/A,FALSE,"CONDOMINIO";#N/A,#N/A,FALSE,"TDF"}</definedName>
    <definedName name="SAMA" hidden="1">{#N/A,#N/A,FALSE,"AVALUO";#N/A,#N/A,FALSE,"CONDOMINIO";#N/A,#N/A,FALSE,"TDF"}</definedName>
    <definedName name="sapo" hidden="1">{"TEXTO DEL AVALUO",#N/A,TRUE,"AVALUO";"CALCULOS Y DICTAMEN",#N/A,TRUE,"CONDOMINIO"}</definedName>
    <definedName name="SDECEEEW" localSheetId="8" hidden="1">{"TEXTO DEL AVALUO",#N/A,FALSE,"AVALUO";"CALCULOS Y DICTAMEN",#N/A,FALSE,"CONDOMINIO"}</definedName>
    <definedName name="SDECEEEW" hidden="1">{"TEXTO DEL AVALUO",#N/A,FALSE,"AVALUO";"CALCULOS Y DICTAMEN",#N/A,FALSE,"CONDOMINIO"}</definedName>
    <definedName name="sder" localSheetId="8" hidden="1">{"AVALUO DE TEXTO",#N/A,FALSE,"AVALUO";"CALCULOS EN CONDOMINIO",#N/A,FALSE,"CONDOMINIO"}</definedName>
    <definedName name="sder" hidden="1">{"AVALUO DE TEXTO",#N/A,FALSE,"AVALUO";"CALCULOS EN CONDOMINIO",#N/A,FALSE,"CONDOMINIO"}</definedName>
    <definedName name="sdertt" localSheetId="8" hidden="1">{#N/A,#N/A,FALSE,"AVALUO";#N/A,#N/A,FALSE,"CONDOMINIO";#N/A,#N/A,FALSE,"IGECEM"}</definedName>
    <definedName name="sdertt" hidden="1">{#N/A,#N/A,FALSE,"AVALUO";#N/A,#N/A,FALSE,"CONDOMINIO";#N/A,#N/A,FALSE,"IGECEM"}</definedName>
    <definedName name="SDF" localSheetId="8" hidden="1">{#N/A,#N/A,FALSE,"AVALUO";#N/A,#N/A,FALSE,"CONDOMINIO";#N/A,#N/A,FALSE,"IGECEM"}</definedName>
    <definedName name="SDF" hidden="1">{#N/A,#N/A,FALSE,"AVALUO";#N/A,#N/A,FALSE,"CONDOMINIO";#N/A,#N/A,FALSE,"IGECEM"}</definedName>
    <definedName name="sdfD" hidden="1">{"TEXTO DEL AVALUO",#N/A,TRUE,"AVALUO";"CALCULOS Y DICTAMEN",#N/A,TRUE,"CONDOMINIO"}</definedName>
    <definedName name="SDFSWEF" hidden="1">{"ANVERSO",#N/A,FALSE,"MEMBASES";"REVERSO",#N/A,FALSE,"MEMBASES"}</definedName>
    <definedName name="sdgdasdg" localSheetId="8" hidden="1">{"AVALUO DE TEXTO",#N/A,FALSE,"AVALUO";"CALCULOS EN CONDOMINIO",#N/A,FALSE,"CONDOMINIO"}</definedName>
    <definedName name="sdgdasdg" hidden="1">{"AVALUO DE TEXTO",#N/A,FALSE,"AVALUO";"CALCULOS EN CONDOMINIO",#N/A,FALSE,"CONDOMINIO"}</definedName>
    <definedName name="sdgdgdgd" localSheetId="8" hidden="1">{"TEXTO DEL AVALUO",#N/A,TRUE,"AVALUO";"CALCULOS Y DICTAMEN",#N/A,TRUE,"CONDOMINIO"}</definedName>
    <definedName name="sdgdgdgd" hidden="1">{"TEXTO DEL AVALUO",#N/A,TRUE,"AVALUO";"CALCULOS Y DICTAMEN",#N/A,TRUE,"CONDOMINIO"}</definedName>
    <definedName name="sdgsdg" localSheetId="8" hidden="1">{#N/A,#N/A,FALSE,"AVALUO";#N/A,#N/A,FALSE,"CONDOMINIO";#N/A,#N/A,FALSE,"TDF"}</definedName>
    <definedName name="sdgsdg" hidden="1">{#N/A,#N/A,FALSE,"AVALUO";#N/A,#N/A,FALSE,"CONDOMINIO";#N/A,#N/A,FALSE,"TDF"}</definedName>
    <definedName name="sdgsdgsd" localSheetId="8" hidden="1">{"TEXTO DEL AVALUO",#N/A,FALSE,"AVALUO";"CALCULOS Y DICTAMEN",#N/A,FALSE,"CONDOMINIO"}</definedName>
    <definedName name="sdgsdgsd" hidden="1">{"TEXTO DEL AVALUO",#N/A,FALSE,"AVALUO";"CALCULOS Y DICTAMEN",#N/A,FALSE,"CONDOMINIO"}</definedName>
    <definedName name="sdse" localSheetId="8" hidden="1">{"TEXTO DEL AVALUO",#N/A,TRUE,"AVALUO";"CALCULOS Y DICTAMEN",#N/A,TRUE,"CONDOMINIO"}</definedName>
    <definedName name="sdse" hidden="1">{"TEXTO DEL AVALUO",#N/A,TRUE,"AVALUO";"CALCULOS Y DICTAMEN",#N/A,TRUE,"CONDOMINIO"}</definedName>
    <definedName name="SE" localSheetId="8" hidden="1">{#N/A,#N/A,FALSE,"AVALUO";#N/A,#N/A,FALSE,"CONDOMINIO";#N/A,#N/A,FALSE,"IGECEM"}</definedName>
    <definedName name="SE" hidden="1">{#N/A,#N/A,FALSE,"AVALUO";#N/A,#N/A,FALSE,"CONDOMINIO";#N/A,#N/A,FALSE,"IGECEM"}</definedName>
    <definedName name="SED" localSheetId="8" hidden="1">{"TEXTO DEL AVALUO",#N/A,TRUE,"AVALUO";"CALCULOS Y DICTAMEN",#N/A,TRUE,"CONDOMINIO"}</definedName>
    <definedName name="SED" hidden="1">{"TEXTO DEL AVALUO",#N/A,TRUE,"AVALUO";"CALCULOS Y DICTAMEN",#N/A,TRUE,"CONDOMINIO"}</definedName>
    <definedName name="SEIS" hidden="1">{#N/A,#N/A,FALSE,"AVALUO";#N/A,#N/A,FALSE,"CONDOMINIO";#N/A,#N/A,FALSE,"IGECEM"}</definedName>
    <definedName name="sello" hidden="1">{#N/A,#N/A,FALSE,"AVALUO";#N/A,#N/A,FALSE,"CONDOMINIO";#N/A,#N/A,FALSE,"IGECEM"}</definedName>
    <definedName name="SFB" localSheetId="8" hidden="1">{"TEXTO DEL AVALUO",#N/A,TRUE,"AVALUO";"CALCULOS Y DICTAMEN",#N/A,TRUE,"CONDOMINIO"}</definedName>
    <definedName name="SFB" hidden="1">{"TEXTO DEL AVALUO",#N/A,TRUE,"AVALUO";"CALCULOS Y DICTAMEN",#N/A,TRUE,"CONDOMINIO"}</definedName>
    <definedName name="SFE" hidden="1">{"TEXTO DEL AVALUO",#N/A,TRUE,"AVALUO";"CALCULOS Y DICTAMEN",#N/A,TRUE,"CONDOMINIO"}</definedName>
    <definedName name="SFERE" hidden="1">{#N/A,#N/A,FALSE,"AVALUO";#N/A,#N/A,FALSE,"CONDOMINIO";#N/A,#N/A,FALSE,"TDF"}</definedName>
    <definedName name="sfgs" hidden="1">{"TEXTO DEL AVALUO",#N/A,TRUE,"AVALUO";"CALCULOS Y DICTAMEN",#N/A,TRUE,"CONDOMINIO"}</definedName>
    <definedName name="sfgsfg" hidden="1">{#N/A,#N/A,FALSE,"AVALUO";#N/A,#N/A,FALSE,"CONDOMINIO";#N/A,#N/A,FALSE,"TDF"}</definedName>
    <definedName name="sfgsg" hidden="1">{#N/A,#N/A,FALSE,"AVALUO";#N/A,#N/A,FALSE,"CONDOMINIO";#N/A,#N/A,FALSE,"IGECEM"}</definedName>
    <definedName name="SFH" localSheetId="8" hidden="1">{"AVALUO DE TEXTO",#N/A,FALSE,"AVALUO";"CALCULOS EN CONDOMINIO",#N/A,FALSE,"CONDOMINIO"}</definedName>
    <definedName name="SFH" hidden="1">{"AVALUO DE TEXTO",#N/A,FALSE,"AVALUO";"CALCULOS EN CONDOMINIO",#N/A,FALSE,"CONDOMINIO"}</definedName>
    <definedName name="SFRH" localSheetId="8" hidden="1">{#N/A,#N/A,FALSE,"AVALUO";#N/A,#N/A,FALSE,"CONDOMINIO";#N/A,#N/A,FALSE,"IGECEM"}</definedName>
    <definedName name="SFRH" hidden="1">{#N/A,#N/A,FALSE,"AVALUO";#N/A,#N/A,FALSE,"CONDOMINIO";#N/A,#N/A,FALSE,"IGECEM"}</definedName>
    <definedName name="SFS" hidden="1">{"TEXTO DEL AVALUO",#N/A,TRUE,"AVALUO";"CALCULOS Y DICTAMEN",#N/A,TRUE,"CONDOMINIO"}</definedName>
    <definedName name="SGHD" localSheetId="8" hidden="1">{#N/A,#N/A,FALSE,"AVALUO";#N/A,#N/A,FALSE,"CONDOMINIO";#N/A,#N/A,FALSE,"TDF"}</definedName>
    <definedName name="SGHD" hidden="1">{#N/A,#N/A,FALSE,"AVALUO";#N/A,#N/A,FALSE,"CONDOMINIO";#N/A,#N/A,FALSE,"TDF"}</definedName>
    <definedName name="SI" localSheetId="8" hidden="1">{#N/A,#N/A,FALSE,"AVALUO";#N/A,#N/A,FALSE,"CONDOMINIO";#N/A,#N/A,FALSE,"IGECEM"}</definedName>
    <definedName name="SI" hidden="1">{#N/A,#N/A,FALSE,"AVALUO";#N/A,#N/A,FALSE,"CONDOMINIO";#N/A,#N/A,FALSE,"IGECEM"}</definedName>
    <definedName name="SIETE" hidden="1">{"TEXTO DEL AVALUO",#N/A,FALSE,"AVALUO";"CALCULOS Y DICTAMEN",#N/A,FALSE,"CONDOMINIO"}</definedName>
    <definedName name="silvia" hidden="1">{"TEXTO DEL AVALUO",#N/A,TRUE,"AVALUO";"CALCULOS Y DICTAMEN",#N/A,TRUE,"CONDOMINIO"}</definedName>
    <definedName name="simon" hidden="1">{#N/A,#N/A,FALSE,"AVALUO";#N/A,#N/A,FALSE,"CONDOMINIO";#N/A,#N/A,FALSE,"IGECEM"}</definedName>
    <definedName name="SMSNssS" hidden="1">{#N/A,#N/A,FALSE,"DICFIN"}</definedName>
    <definedName name="SO" localSheetId="8" hidden="1">{"TEXTO DEL AVALUO",#N/A,TRUE,"AVALUO";"CALCULOS Y DICTAMEN",#N/A,TRUE,"CONDOMINIO"}</definedName>
    <definedName name="SO" hidden="1">{"TEXTO DEL AVALUO",#N/A,TRUE,"AVALUO";"CALCULOS Y DICTAMEN",#N/A,TRUE,"CONDOMINIO"}</definedName>
    <definedName name="solver_opt" localSheetId="4" hidden="1">#REF!</definedName>
    <definedName name="solver_opt" localSheetId="8" hidden="1">#REF!</definedName>
    <definedName name="solver_opt" hidden="1">#REF!</definedName>
    <definedName name="soto" hidden="1">{"TEXTO DEL AVALUO",#N/A,TRUE,"AVALUO";"CALCULOS Y DICTAMEN",#N/A,TRUE,"CONDOMINIO"}</definedName>
    <definedName name="SR" localSheetId="8" hidden="1">{"ANVERSO",#N/A,FALSE,"MEMBASES";"REVERSO",#N/A,FALSE,"MEMBASES"}</definedName>
    <definedName name="SR" hidden="1">{"ANVERSO",#N/A,FALSE,"MEMBASES";"REVERSO",#N/A,FALSE,"MEMBASES"}</definedName>
    <definedName name="ss" localSheetId="8" hidden="1">{#N/A,#N/A,FALSE,"AVALUO";#N/A,#N/A,FALSE,"CONDOMINIO";#N/A,#N/A,FALSE,"TDF"}</definedName>
    <definedName name="ss" hidden="1">{#N/A,#N/A,FALSE,"AVALUO";#N/A,#N/A,FALSE,"CONDOMINIO";#N/A,#N/A,FALSE,"TDF"}</definedName>
    <definedName name="ssd" localSheetId="8" hidden="1">{"TEXTO DEL AVALUO",#N/A,TRUE,"AVALUO";"CALCULOS Y DICTAMEN",#N/A,TRUE,"CONDOMINIO"}</definedName>
    <definedName name="ssd" hidden="1">{"TEXTO DEL AVALUO",#N/A,TRUE,"AVALUO";"CALCULOS Y DICTAMEN",#N/A,TRUE,"CONDOMINIO"}</definedName>
    <definedName name="ssdd" localSheetId="8" hidden="1">{#N/A,#N/A,FALSE,"AVALUO";#N/A,#N/A,FALSE,"CONDOMINIO";#N/A,#N/A,FALSE,"TDF"}</definedName>
    <definedName name="ssdd" hidden="1">{#N/A,#N/A,FALSE,"AVALUO";#N/A,#N/A,FALSE,"CONDOMINIO";#N/A,#N/A,FALSE,"TDF"}</definedName>
    <definedName name="ssder" localSheetId="8" hidden="1">{#N/A,#N/A,FALSE,"AVALUO";#N/A,#N/A,FALSE,"CONDOMINIO";#N/A,#N/A,FALSE,"TDF"}</definedName>
    <definedName name="ssder" hidden="1">{#N/A,#N/A,FALSE,"AVALUO";#N/A,#N/A,FALSE,"CONDOMINIO";#N/A,#N/A,FALSE,"TDF"}</definedName>
    <definedName name="SSS" hidden="1">{"TEXTO DEL AVALUO",#N/A,TRUE,"AVALUO";"CALCULOS Y DICTAMEN",#N/A,TRUE,"CONDOMINIO"}</definedName>
    <definedName name="SSSSS" localSheetId="8" hidden="1">{#N/A,#N/A,FALSE,"AVALUO";#N/A,#N/A,FALSE,"CONDOMINIO";#N/A,#N/A,FALSE,"IGECEM"}</definedName>
    <definedName name="SSSSS" hidden="1">{#N/A,#N/A,FALSE,"AVALUO";#N/A,#N/A,FALSE,"CONDOMINIO";#N/A,#N/A,FALSE,"IGECEM"}</definedName>
    <definedName name="st" localSheetId="8" hidden="1">{#N/A,#N/A,FALSE,"AVALUO";#N/A,#N/A,FALSE,"CONDOMINIO";#N/A,#N/A,FALSE,"IGECEM"}</definedName>
    <definedName name="st" hidden="1">{#N/A,#N/A,FALSE,"AVALUO";#N/A,#N/A,FALSE,"CONDOMINIO";#N/A,#N/A,FALSE,"IGECEM"}</definedName>
    <definedName name="SUR" localSheetId="8" hidden="1">{"ANVERSO",#N/A,FALSE,"MEMBASES";"REVERSO",#N/A,FALSE,"MEMBASES"}</definedName>
    <definedName name="SUR" hidden="1">{"ANVERSO",#N/A,FALSE,"MEMBASES";"REVERSO",#N/A,FALSE,"MEMBASES"}</definedName>
    <definedName name="T" localSheetId="8" hidden="1">{"AVALUO DE TEXTO",#N/A,FALSE,"AVALUO";"CALCULOS EN CONDOMINIO",#N/A,FALSE,"CONDOMINIO"}</definedName>
    <definedName name="T" hidden="1">{"AVALUO DE TEXTO",#N/A,FALSE,"AVALUO";"CALCULOS EN CONDOMINIO",#N/A,FALSE,"CONDOMINIO"}</definedName>
    <definedName name="t7t76t7" localSheetId="8" hidden="1">{#N/A,#N/A,FALSE,"AVALUO";#N/A,#N/A,FALSE,"CONDOMINIO";#N/A,#N/A,FALSE,"TDF"}</definedName>
    <definedName name="t7t76t7" hidden="1">{#N/A,#N/A,FALSE,"AVALUO";#N/A,#N/A,FALSE,"CONDOMINIO";#N/A,#N/A,FALSE,"TDF"}</definedName>
    <definedName name="tabla" hidden="1">{#N/A,#N/A,FALSE,"ESTUDIO1"}</definedName>
    <definedName name="TAVO" localSheetId="8" hidden="1">{#N/A,#N/A,FALSE,"AVALUO";#N/A,#N/A,FALSE,"CONDOMINIO";#N/A,#N/A,FALSE,"TDF"}</definedName>
    <definedName name="TAVO" hidden="1">{#N/A,#N/A,FALSE,"AVALUO";#N/A,#N/A,FALSE,"CONDOMINIO";#N/A,#N/A,FALSE,"TDF"}</definedName>
    <definedName name="TE" localSheetId="8" hidden="1">{"AVALUO DE TEXTO",#N/A,FALSE,"AVALUO";"CALCULOS EN CONDOMINIO",#N/A,FALSE,"CONDOMINIO"}</definedName>
    <definedName name="TE" hidden="1">{"AVALUO DE TEXTO",#N/A,FALSE,"AVALUO";"CALCULOS EN CONDOMINIO",#N/A,FALSE,"CONDOMINIO"}</definedName>
    <definedName name="telef" hidden="1">{"AVALUO DE TEXTO",#N/A,FALSE,"AVALUO";"CALCULOS EN CONDOMINIO",#N/A,FALSE,"CONDOMINIO"}</definedName>
    <definedName name="TEMPO" hidden="1">{"TEXTO DEL AVALUO",#N/A,FALSE,"AVALUO";"CALCULOS Y DICTAMEN",#N/A,FALSE,"CONDOMINIO"}</definedName>
    <definedName name="TEMPORAL" hidden="1">{"TEXTO DEL AVALUO",#N/A,TRUE,"AVALUO";"CALCULOS Y DICTAMEN",#N/A,TRUE,"CONDOMINIO"}</definedName>
    <definedName name="TEPIC" hidden="1">{#N/A,#N/A,FALSE,"DICTEC"}</definedName>
    <definedName name="TERCERAOPCION" localSheetId="8" hidden="1">{#N/A,#N/A,FALSE,"AVALUO";#N/A,#N/A,FALSE,"CONDOMINIO";#N/A,#N/A,FALSE,"IGECEM"}</definedName>
    <definedName name="TERCERAOPCION" hidden="1">{#N/A,#N/A,FALSE,"AVALUO";#N/A,#N/A,FALSE,"CONDOMINIO";#N/A,#N/A,FALSE,"IGECEM"}</definedName>
    <definedName name="TERCERAOPCION1" localSheetId="8" hidden="1">{#N/A,#N/A,FALSE,"AVALUO";#N/A,#N/A,FALSE,"CONDOMINIO";#N/A,#N/A,FALSE,"TDF"}</definedName>
    <definedName name="TERCERAOPCION1" hidden="1">{#N/A,#N/A,FALSE,"AVALUO";#N/A,#N/A,FALSE,"CONDOMINIO";#N/A,#N/A,FALSE,"TDF"}</definedName>
    <definedName name="TERCEROPCION" localSheetId="8" hidden="1">{#N/A,#N/A,FALSE,"AVALUO";#N/A,#N/A,FALSE,"CONDOMINIO";#N/A,#N/A,FALSE,"TDF"}</definedName>
    <definedName name="TERCEROPCION" hidden="1">{#N/A,#N/A,FALSE,"AVALUO";#N/A,#N/A,FALSE,"CONDOMINIO";#N/A,#N/A,FALSE,"TDF"}</definedName>
    <definedName name="terreno" localSheetId="4" hidden="1">#REF!</definedName>
    <definedName name="terreno" hidden="1">#REF!</definedName>
    <definedName name="terrenos" localSheetId="8" hidden="1">{#N/A,#N/A,FALSE,"AVALUO";#N/A,#N/A,FALSE,"CONDOMINIO";#N/A,#N/A,FALSE,"IGECEM"}</definedName>
    <definedName name="terrenos" hidden="1">{#N/A,#N/A,FALSE,"AVALUO";#N/A,#N/A,FALSE,"CONDOMINIO";#N/A,#N/A,FALSE,"IGECEM"}</definedName>
    <definedName name="TES" localSheetId="8" hidden="1">{#N/A,#N/A,FALSE,"AVALUO";#N/A,#N/A,FALSE,"CONDOMINIO";#N/A,#N/A,FALSE,"TDF"}</definedName>
    <definedName name="TES" hidden="1">{#N/A,#N/A,FALSE,"AVALUO";#N/A,#N/A,FALSE,"CONDOMINIO";#N/A,#N/A,FALSE,"TDF"}</definedName>
    <definedName name="tewetwet" localSheetId="8" hidden="1">{#N/A,#N/A,FALSE,"AVALUO";#N/A,#N/A,FALSE,"CONDOMINIO";#N/A,#N/A,FALSE,"TDF"}</definedName>
    <definedName name="tewetwet" hidden="1">{#N/A,#N/A,FALSE,"AVALUO";#N/A,#N/A,FALSE,"CONDOMINIO";#N/A,#N/A,FALSE,"TDF"}</definedName>
    <definedName name="tewtetete" localSheetId="8" hidden="1">{"TEXTO DEL AVALUO",#N/A,TRUE,"AVALUO";"CALCULOS Y DICTAMEN",#N/A,TRUE,"CONDOMINIO"}</definedName>
    <definedName name="tewtetete" hidden="1">{"TEXTO DEL AVALUO",#N/A,TRUE,"AVALUO";"CALCULOS Y DICTAMEN",#N/A,TRUE,"CONDOMINIO"}</definedName>
    <definedName name="tewtwetwet" localSheetId="8" hidden="1">{#N/A,#N/A,FALSE,"AVALUO";#N/A,#N/A,FALSE,"CONDOMINIO";#N/A,#N/A,FALSE,"TDF"}</definedName>
    <definedName name="tewtwetwet" hidden="1">{#N/A,#N/A,FALSE,"AVALUO";#N/A,#N/A,FALSE,"CONDOMINIO";#N/A,#N/A,FALSE,"TDF"}</definedName>
    <definedName name="tewwwwwwwwwww" localSheetId="8" hidden="1">{"TEXTO DEL AVALUO",#N/A,TRUE,"AVALUO";"CALCULOS Y DICTAMEN",#N/A,TRUE,"CONDOMINIO"}</definedName>
    <definedName name="tewwwwwwwwwww" hidden="1">{"TEXTO DEL AVALUO",#N/A,TRUE,"AVALUO";"CALCULOS Y DICTAMEN",#N/A,TRUE,"CONDOMINIO"}</definedName>
    <definedName name="tfc" hidden="1">{#N/A,#N/A,FALSE,"AVALUO";#N/A,#N/A,FALSE,"CONDOMINIO";#N/A,#N/A,FALSE,"TDF"}</definedName>
    <definedName name="TGHTEHJ" localSheetId="8" hidden="1">{"ANVERSO",#N/A,FALSE,"MEMBASES";"REVERSO",#N/A,FALSE,"MEMBASES"}</definedName>
    <definedName name="TGHTEHJ" hidden="1">{"ANVERSO",#N/A,FALSE,"MEMBASES";"REVERSO",#N/A,FALSE,"MEMBASES"}</definedName>
    <definedName name="TIM" localSheetId="8" hidden="1">{"TEXTO DEL AVALUO",#N/A,TRUE,"AVALUO";"CALCULOS Y DICTAMEN",#N/A,TRUE,"CONDOMINIO"}</definedName>
    <definedName name="TIM" hidden="1">{"TEXTO DEL AVALUO",#N/A,TRUE,"AVALUO";"CALCULOS Y DICTAMEN",#N/A,TRUE,"CONDOMINIO"}</definedName>
    <definedName name="TIP" hidden="1">{#N/A,#N/A,FALSE,"AVALUO";#N/A,#N/A,FALSE,"CONDOMINIO";#N/A,#N/A,FALSE,"TDF"}</definedName>
    <definedName name="todos" hidden="1">{"TEXTO DEL AVALUO",#N/A,FALSE,"AVALUO";"CALCULOS Y DICTAMEN",#N/A,FALSE,"CONDOMINIO"}</definedName>
    <definedName name="TOL" localSheetId="8" hidden="1">{"TEXTO DEL AVALUO",#N/A,FALSE,"AVALUO";"CALCULOS Y DICTAMEN",#N/A,FALSE,"CONDOMINIO"}</definedName>
    <definedName name="TOL" hidden="1">{"TEXTO DEL AVALUO",#N/A,FALSE,"AVALUO";"CALCULOS Y DICTAMEN",#N/A,FALSE,"CONDOMINIO"}</definedName>
    <definedName name="TR" hidden="1">{#N/A,#N/A,FALSE,"AVALUO";#N/A,#N/A,FALSE,"CONDOMINIO";#N/A,#N/A,FALSE,"IGECEM"}</definedName>
    <definedName name="tras" hidden="1">{#N/A,#N/A,FALSE,"AVALUO";#N/A,#N/A,FALSE,"CONDOMINIO";#N/A,#N/A,FALSE,"IGECEM"}</definedName>
    <definedName name="TRECE" hidden="1">{"TEXTO DEL AVALUO",#N/A,TRUE,"AVALUO";"CALCULOS Y DICTAMEN",#N/A,TRUE,"CONDOMINIO"}</definedName>
    <definedName name="TRES" hidden="1">{"TEXTO DEL AVALUO",#N/A,TRUE,"AVALUO";"CALCULOS Y DICTAMEN",#N/A,TRUE,"CONDOMINIO"}</definedName>
    <definedName name="TRI" localSheetId="8" hidden="1">{#N/A,#N/A,FALSE,"AVALUO";#N/A,#N/A,FALSE,"CONDOMINIO";#N/A,#N/A,FALSE,"IGECEM"}</definedName>
    <definedName name="TRI" hidden="1">{#N/A,#N/A,FALSE,"AVALUO";#N/A,#N/A,FALSE,"CONDOMINIO";#N/A,#N/A,FALSE,"IGECEM"}</definedName>
    <definedName name="tRIEGO" hidden="1">{"TEXTO DEL AVALUO",#N/A,TRUE,"AVALUO";"CALCULOS Y DICTAMEN",#N/A,TRUE,"CONDOMINIO"}</definedName>
    <definedName name="trs" localSheetId="4" hidden="1">{#N/A,#N/A,FALSE,"AVALUO";#N/A,#N/A,FALSE,"CONDOMINIO";#N/A,#N/A,FALSE,"TDF"}</definedName>
    <definedName name="trs" localSheetId="8" hidden="1">{#N/A,#N/A,FALSE,"AVALUO";#N/A,#N/A,FALSE,"CONDOMINIO";#N/A,#N/A,FALSE,"TDF"}</definedName>
    <definedName name="trs" hidden="1">{#N/A,#N/A,FALSE,"AVALUO";#N/A,#N/A,FALSE,"CONDOMINIO";#N/A,#N/A,FALSE,"TDF"}</definedName>
    <definedName name="trsdgvsfdb" hidden="1">{"TEXTO DEL AVALUO",#N/A,TRUE,"AVALUO";"CALCULOS Y DICTAMEN",#N/A,TRUE,"CONDOMINIO"}</definedName>
    <definedName name="tru" localSheetId="8" hidden="1">{"TEXTO DEL AVALUO",#N/A,FALSE,"AVALUO";"CALCULOS Y DICTAMEN",#N/A,FALSE,"CONDOMINIO"}</definedName>
    <definedName name="tru" hidden="1">{"TEXTO DEL AVALUO",#N/A,FALSE,"AVALUO";"CALCULOS Y DICTAMEN",#N/A,FALSE,"CONDOMINIO"}</definedName>
    <definedName name="true" hidden="1">{#N/A,#N/A,FALSE,"AVALUO";#N/A,#N/A,FALSE,"CONDOMINIO";#N/A,#N/A,FALSE,"TDF"}</definedName>
    <definedName name="tt" localSheetId="8" hidden="1">{#N/A,#N/A,FALSE,"AVALUO";#N/A,#N/A,FALSE,"CONDOMINIO";#N/A,#N/A,FALSE,"IGECEM"}</definedName>
    <definedName name="tt" hidden="1">{#N/A,#N/A,FALSE,"AVALUO";#N/A,#N/A,FALSE,"CONDOMINIO";#N/A,#N/A,FALSE,"IGECEM"}</definedName>
    <definedName name="tttt" localSheetId="8" hidden="1">{#N/A,#N/A,FALSE,"AVALUO";#N/A,#N/A,FALSE,"CONDOMINIO";#N/A,#N/A,FALSE,"TDF"}</definedName>
    <definedName name="tttt" hidden="1">{#N/A,#N/A,FALSE,"AVALUO";#N/A,#N/A,FALSE,"CONDOMINIO";#N/A,#N/A,FALSE,"TDF"}</definedName>
    <definedName name="TU" localSheetId="8" hidden="1">{"TEXTO DEL AVALUO",#N/A,TRUE,"AVALUO";"CALCULOS Y DICTAMEN",#N/A,TRUE,"CONDOMINIO"}</definedName>
    <definedName name="TU" hidden="1">{#N/A,#N/A,FALSE,"AVALUO";#N/A,#N/A,FALSE,"CONDOMINIO";#N/A,#N/A,FALSE,"TDF"}</definedName>
    <definedName name="tutrutrut" localSheetId="8" hidden="1">{#N/A,#N/A,FALSE,"AVALUO";#N/A,#N/A,FALSE,"CONDOMINIO";#N/A,#N/A,FALSE,"IGECEM"}</definedName>
    <definedName name="tutrutrut" hidden="1">{#N/A,#N/A,FALSE,"AVALUO";#N/A,#N/A,FALSE,"CONDOMINIO";#N/A,#N/A,FALSE,"IGECEM"}</definedName>
    <definedName name="TUY" localSheetId="8" hidden="1">{#N/A,#N/A,FALSE,"AVALUO";#N/A,#N/A,FALSE,"CONDOMINIO";#N/A,#N/A,FALSE,"IGECEM"}</definedName>
    <definedName name="TUY" hidden="1">{#N/A,#N/A,FALSE,"AVALUO";#N/A,#N/A,FALSE,"CONDOMINIO";#N/A,#N/A,FALSE,"IGECEM"}</definedName>
    <definedName name="tuyur" hidden="1">{#N/A,#N/A,FALSE,"AVALUO";#N/A,#N/A,FALSE,"CONDOMINIO";#N/A,#N/A,FALSE,"TDF"}</definedName>
    <definedName name="twertewtwetwetwe" localSheetId="8" hidden="1">{"ANVERSO",#N/A,FALSE,"MEMBASES";"REVERSO",#N/A,FALSE,"MEMBASES"}</definedName>
    <definedName name="twertewtwetwetwe" hidden="1">{"ANVERSO",#N/A,FALSE,"MEMBASES";"REVERSO",#N/A,FALSE,"MEMBASES"}</definedName>
    <definedName name="twetetywerywr" localSheetId="8" hidden="1">{#N/A,#N/A,FALSE,"AVALUO";#N/A,#N/A,FALSE,"CONDOMINIO";#N/A,#N/A,FALSE,"TDF"}</definedName>
    <definedName name="twetetywerywr" hidden="1">{#N/A,#N/A,FALSE,"AVALUO";#N/A,#N/A,FALSE,"CONDOMINIO";#N/A,#N/A,FALSE,"TDF"}</definedName>
    <definedName name="twetwetet" localSheetId="8" hidden="1">{"TEXTO DEL AVALUO",#N/A,TRUE,"AVALUO";"CALCULOS Y DICTAMEN",#N/A,TRUE,"CONDOMINIO"}</definedName>
    <definedName name="twetwetet" hidden="1">{"TEXTO DEL AVALUO",#N/A,TRUE,"AVALUO";"CALCULOS Y DICTAMEN",#N/A,TRUE,"CONDOMINIO"}</definedName>
    <definedName name="twewtewt" localSheetId="8" hidden="1">{#N/A,#N/A,FALSE,"AVALUO";#N/A,#N/A,FALSE,"CONDOMINIO";#N/A,#N/A,FALSE,"TDF"}</definedName>
    <definedName name="twewtewt" hidden="1">{#N/A,#N/A,FALSE,"AVALUO";#N/A,#N/A,FALSE,"CONDOMINIO";#N/A,#N/A,FALSE,"TDF"}</definedName>
    <definedName name="tytytytytyty" localSheetId="8" hidden="1">{#N/A,#N/A,FALSE,"AVALUO";#N/A,#N/A,FALSE,"CONDOMINIO";#N/A,#N/A,FALSE,"TDF"}</definedName>
    <definedName name="tytytytytyty" hidden="1">{#N/A,#N/A,FALSE,"AVALUO";#N/A,#N/A,FALSE,"CONDOMINIO";#N/A,#N/A,FALSE,"TDF"}</definedName>
    <definedName name="U" hidden="1">{"AVALUO DE TEXTO",#N/A,FALSE,"AVALUO";"CALCULOS EN CONDOMINIO",#N/A,FALSE,"CONDOMINIO"}</definedName>
    <definedName name="uhb" hidden="1">{#N/A,#N/A,FALSE,"avaluo";#N/A,#N/A,FALSE,"fisico";#N/A,#N/A,FALSE,"rentas";#N/A,#N/A,FALSE,"deducciones";#N/A,#N/A,FALSE,"tasas";#N/A,#N/A,FALSE,"homolog";#N/A,#N/A,FALSE,"regresion";#N/A,#N/A,FALSE,"investigacion"}</definedName>
    <definedName name="UNIDADES" localSheetId="4" hidden="1">#REF!</definedName>
    <definedName name="UNIDADES" hidden="1">#REF!</definedName>
    <definedName name="UNO" hidden="1">{"AVALUO DE TEXTO",#N/A,FALSE,"AVALUO";"CALCULOS EN CONDOMINIO",#N/A,FALSE,"CONDOMINIO"}</definedName>
    <definedName name="uo" localSheetId="8" hidden="1">{#N/A,#N/A,FALSE,"AVALUO";#N/A,#N/A,FALSE,"CONDOMINIO";#N/A,#N/A,FALSE,"TDF"}</definedName>
    <definedName name="uo" hidden="1">{#N/A,#N/A,FALSE,"AVALUO";#N/A,#N/A,FALSE,"CONDOMINIO";#N/A,#N/A,FALSE,"TDF"}</definedName>
    <definedName name="uopppppppppp" localSheetId="8" hidden="1">{"ANVERSO",#N/A,FALSE,"MEMBASES";"REVERSO",#N/A,FALSE,"MEMBASES"}</definedName>
    <definedName name="uopppppppppp" hidden="1">{"ANVERSO",#N/A,FALSE,"MEMBASES";"REVERSO",#N/A,FALSE,"MEMBASES"}</definedName>
    <definedName name="uotioytyiyiyi" localSheetId="8" hidden="1">{"ANVERSO",#N/A,FALSE,"MEMBASES";"REVERSO",#N/A,FALSE,"MEMBASES"}</definedName>
    <definedName name="uotioytyiyiyi" hidden="1">{"ANVERSO",#N/A,FALSE,"MEMBASES";"REVERSO",#N/A,FALSE,"MEMBASES"}</definedName>
    <definedName name="utrturtutr" localSheetId="8" hidden="1">{"AVALUO DE TEXTO",#N/A,FALSE,"AVALUO";"CALCULOS EN CONDOMINIO",#N/A,FALSE,"CONDOMINIO"}</definedName>
    <definedName name="utrturtutr" hidden="1">{"AVALUO DE TEXTO",#N/A,FALSE,"AVALUO";"CALCULOS EN CONDOMINIO",#N/A,FALSE,"CONDOMINIO"}</definedName>
    <definedName name="UTRUTRUTRUTR" localSheetId="8" hidden="1">{"AVALUO DE TEXTO",#N/A,FALSE,"AVALUO";"CALCULOS EN CONDOMINIO",#N/A,FALSE,"CONDOMINIO"}</definedName>
    <definedName name="UTRUTRUTRUTR" hidden="1">{"AVALUO DE TEXTO",#N/A,FALSE,"AVALUO";"CALCULOS EN CONDOMINIO",#N/A,FALSE,"CONDOMINIO"}</definedName>
    <definedName name="uuuuuu" localSheetId="8" hidden="1">{#N/A,#N/A,FALSE,"AVALUO";#N/A,#N/A,FALSE,"CONDOMINIO";#N/A,#N/A,FALSE,"IGECEM"}</definedName>
    <definedName name="uuuuuu" hidden="1">{#N/A,#N/A,FALSE,"AVALUO";#N/A,#N/A,FALSE,"CONDOMINIO";#N/A,#N/A,FALSE,"IGECEM"}</definedName>
    <definedName name="uuyy" localSheetId="8" hidden="1">{"ANVERSO",#N/A,FALSE,"MEMBASES";"REVERSO",#N/A,FALSE,"MEMBASES"}</definedName>
    <definedName name="uuyy" hidden="1">{"ANVERSO",#N/A,FALSE,"MEMBASES";"REVERSO",#N/A,FALSE,"MEMBASES"}</definedName>
    <definedName name="uyt" hidden="1">{"TEXTO DEL AVALUO",#N/A,FALSE,"AVALUO";"CALCULOS Y DICTAMEN",#N/A,FALSE,"CONDOMINIO"}</definedName>
    <definedName name="uytt" localSheetId="8" hidden="1">{"AVALUO DE TEXTO",#N/A,FALSE,"AVALUO";"CALCULOS EN CONDOMINIO",#N/A,FALSE,"CONDOMINIO"}</definedName>
    <definedName name="uytt" hidden="1">{"AVALUO DE TEXTO",#N/A,FALSE,"AVALUO";"CALCULOS EN CONDOMINIO",#N/A,FALSE,"CONDOMINIO"}</definedName>
    <definedName name="uyyyyyyyyyy" localSheetId="8" hidden="1">{#N/A,#N/A,FALSE,"AVALUO";#N/A,#N/A,FALSE,"CONDOMINIO";#N/A,#N/A,FALSE,"TDF"}</definedName>
    <definedName name="uyyyyyyyyyy" hidden="1">{#N/A,#N/A,FALSE,"AVALUO";#N/A,#N/A,FALSE,"CONDOMINIO";#N/A,#N/A,FALSE,"TDF"}</definedName>
    <definedName name="V" localSheetId="8" hidden="1">{#N/A,#N/A,FALSE,"AVALUO";#N/A,#N/A,FALSE,"CONDOMINIO";#N/A,#N/A,FALSE,"TDF"}</definedName>
    <definedName name="V" hidden="1">{#N/A,#N/A,FALSE,"AVALUO";#N/A,#N/A,FALSE,"CONDOMINIO";#N/A,#N/A,FALSE,"TDF"}</definedName>
    <definedName name="VALORES_2" hidden="1">{#N/A,#N/A,FALSE,"AVALUO";#N/A,#N/A,FALSE,"CONDOMINIO";#N/A,#N/A,FALSE,"IGECEM"}</definedName>
    <definedName name="vas" hidden="1">{#N/A,#N/A,FALSE,"AVALUO";#N/A,#N/A,FALSE,"CONDOMINIO";#N/A,#N/A,FALSE,"IGECEM"}</definedName>
    <definedName name="VASE" localSheetId="8" hidden="1">{"TEXTO DEL AVALUO",#N/A,TRUE,"AVALUO";"CALCULOS Y DICTAMEN",#N/A,TRUE,"CONDOMINIO"}</definedName>
    <definedName name="VASE" hidden="1">{"TEXTO DEL AVALUO",#N/A,TRUE,"AVALUO";"CALCULOS Y DICTAMEN",#N/A,TRUE,"CONDOMINIO"}</definedName>
    <definedName name="VB" localSheetId="8" hidden="1">{"TEXTO DEL AVALUO",#N/A,TRUE,"AVALUO";"CALCULOS Y DICTAMEN",#N/A,TRUE,"CONDOMINIO"}</definedName>
    <definedName name="VB" hidden="1">{"TEXTO DEL AVALUO",#N/A,TRUE,"AVALUO";"CALCULOS Y DICTAMEN",#N/A,TRUE,"CONDOMINIO"}</definedName>
    <definedName name="VDR" localSheetId="8" hidden="1">{#N/A,#N/A,FALSE,"AVALUO";#N/A,#N/A,FALSE,"CONDOMINIO";#N/A,#N/A,FALSE,"IGECEM"}</definedName>
    <definedName name="VDR" hidden="1">{#N/A,#N/A,FALSE,"AVALUO";#N/A,#N/A,FALSE,"CONDOMINIO";#N/A,#N/A,FALSE,"IGECEM"}</definedName>
    <definedName name="ventas123" localSheetId="8" hidden="1">{#N/A,#N/A,FALSE,"AVALUO";#N/A,#N/A,FALSE,"CONDOMINIO";#N/A,#N/A,FALSE,"TDF"}</definedName>
    <definedName name="ventas123" hidden="1">{#N/A,#N/A,FALSE,"AVALUO";#N/A,#N/A,FALSE,"CONDOMINIO";#N/A,#N/A,FALSE,"TDF"}</definedName>
    <definedName name="vfd" hidden="1">{#N/A,#N/A,FALSE,"AVALUO";#N/A,#N/A,FALSE,"CONDOMINIO";#N/A,#N/A,FALSE,"TDF"}</definedName>
    <definedName name="vgb" hidden="1">{#N/A,#N/A,FALSE,"AVALUO";#N/A,#N/A,FALSE,"CONDOMINIO";#N/A,#N/A,FALSE,"TDF"}</definedName>
    <definedName name="virtualterre" hidden="1">{#N/A,#N/A,FALSE,"AVALUO";#N/A,#N/A,FALSE,"CONDOMINIO";#N/A,#N/A,FALSE,"IGECEM"}</definedName>
    <definedName name="vmn" hidden="1">{"AVALUO DE TEXTO",#N/A,FALSE,"AVALUO";"CALCULOS EN CONDOMINIO",#N/A,FALSE,"CONDOMINIO"}</definedName>
    <definedName name="VVVVVVVVV" hidden="1">{"TEXTO DEL AVALUO",#N/A,TRUE,"AVALUO";"CALCULOS Y DICTAMEN",#N/A,TRUE,"CONDOMINIO"}</definedName>
    <definedName name="VVVVVVVVVV" hidden="1">{"TEXTO DEL AVALUO",#N/A,TRUE,"AVALUO";"CALCULOS Y DICTAMEN",#N/A,TRUE,"CONDOMINIO"}</definedName>
    <definedName name="w" localSheetId="4" hidden="1">{#N/A,#N/A,FALSE,"AVALUO";#N/A,#N/A,FALSE,"CONDOMINIO";#N/A,#N/A,FALSE,"IGECEM"}</definedName>
    <definedName name="w" localSheetId="8" hidden="1">{#N/A,#N/A,FALSE,"AVALUO";#N/A,#N/A,FALSE,"CONDOMINIO";#N/A,#N/A,FALSE,"IGECEM"}</definedName>
    <definedName name="w" hidden="1">{#N/A,#N/A,FALSE,"AVALUO";#N/A,#N/A,FALSE,"CONDOMINIO";#N/A,#N/A,FALSE,"IGECEM"}</definedName>
    <definedName name="wa" hidden="1">{#N/A,#N/A,FALSE,"AVALUO";#N/A,#N/A,FALSE,"CONDOMINIO";#N/A,#N/A,FALSE,"TDF"}</definedName>
    <definedName name="WE" localSheetId="8" hidden="1">{#N/A,#N/A,FALSE,"AVALUO";#N/A,#N/A,FALSE,"CONDOMINIO";#N/A,#N/A,FALSE,"IGECEM"}</definedName>
    <definedName name="WE" hidden="1">{#N/A,#N/A,FALSE,"AVALUO";#N/A,#N/A,FALSE,"CONDOMINIO";#N/A,#N/A,FALSE,"IGECEM"}</definedName>
    <definedName name="weeew" localSheetId="8" hidden="1">{#N/A,#N/A,FALSE,"AVALUO";#N/A,#N/A,FALSE,"CONDOMINIO";#N/A,#N/A,FALSE,"TDF"}</definedName>
    <definedName name="weeew" hidden="1">{#N/A,#N/A,FALSE,"AVALUO";#N/A,#N/A,FALSE,"CONDOMINIO";#N/A,#N/A,FALSE,"TDF"}</definedName>
    <definedName name="wer" hidden="1">{"TEXTO DEL AVALUO",#N/A,TRUE,"AVALUO";"CALCULOS Y DICTAMEN",#N/A,TRUE,"CONDOMINIO"}</definedName>
    <definedName name="wet" localSheetId="8" hidden="1">{"TEXTO DEL AVALUO",#N/A,TRUE,"AVALUO";"CALCULOS Y DICTAMEN",#N/A,TRUE,"CONDOMINIO"}</definedName>
    <definedName name="wet" hidden="1">{"TEXTO DEL AVALUO",#N/A,TRUE,"AVALUO";"CALCULOS Y DICTAMEN",#N/A,TRUE,"CONDOMINIO"}</definedName>
    <definedName name="wetetettjyk" localSheetId="8" hidden="1">{#N/A,#N/A,FALSE,"AVALUO";#N/A,#N/A,FALSE,"CONDOMINIO";#N/A,#N/A,FALSE,"IGECEM"}</definedName>
    <definedName name="wetetettjyk" hidden="1">{#N/A,#N/A,FALSE,"AVALUO";#N/A,#N/A,FALSE,"CONDOMINIO";#N/A,#N/A,FALSE,"IGECEM"}</definedName>
    <definedName name="wettttttt" localSheetId="8" hidden="1">{#N/A,#N/A,FALSE,"AVALUO";#N/A,#N/A,FALSE,"CONDOMINIO";#N/A,#N/A,FALSE,"IGECEM"}</definedName>
    <definedName name="wettttttt" hidden="1">{#N/A,#N/A,FALSE,"AVALUO";#N/A,#N/A,FALSE,"CONDOMINIO";#N/A,#N/A,FALSE,"IGECEM"}</definedName>
    <definedName name="wetwetwet" localSheetId="8" hidden="1">{#N/A,#N/A,FALSE,"AVALUO";#N/A,#N/A,FALSE,"CONDOMINIO";#N/A,#N/A,FALSE,"TDF"}</definedName>
    <definedName name="wetwetwet" hidden="1">{#N/A,#N/A,FALSE,"AVALUO";#N/A,#N/A,FALSE,"CONDOMINIO";#N/A,#N/A,FALSE,"TDF"}</definedName>
    <definedName name="what" localSheetId="8" hidden="1">{#N/A,#N/A,FALSE,"AVALUO";#N/A,#N/A,FALSE,"CONDOMINIO";#N/A,#N/A,FALSE,"IGECEM"}</definedName>
    <definedName name="what" hidden="1">{#N/A,#N/A,FALSE,"AVALUO";#N/A,#N/A,FALSE,"CONDOMINIO";#N/A,#N/A,FALSE,"IGECEM"}</definedName>
    <definedName name="what2" localSheetId="8" hidden="1">{#N/A,#N/A,FALSE,"AVALUO";#N/A,#N/A,FALSE,"CONDOMINIO";#N/A,#N/A,FALSE,"TDF"}</definedName>
    <definedName name="what2" hidden="1">{#N/A,#N/A,FALSE,"AVALUO";#N/A,#N/A,FALSE,"CONDOMINIO";#N/A,#N/A,FALSE,"TDF"}</definedName>
    <definedName name="wij" hidden="1">{"ANVERSO",#N/A,FALSE,"MEMBASES";"REVERSO",#N/A,FALSE,"MEMBASES"}</definedName>
    <definedName name="WQE" hidden="1">{"TEXTO DEL AVALUO",#N/A,FALSE,"AVALUO";"CALCULOS Y DICTAMEN",#N/A,FALSE,"CONDOMINIO"}</definedName>
    <definedName name="wr" hidden="1">{#N/A,#N/A,FALSE,"AVALUO";#N/A,#N/A,FALSE,"CONDOMINIO";#N/A,#N/A,FALSE,"IGECEM"}</definedName>
    <definedName name="WRG" localSheetId="8" hidden="1">{#N/A,#N/A,FALSE,"AVALUO";#N/A,#N/A,FALSE,"CONDOMINIO";#N/A,#N/A,FALSE,"IGECEM"}</definedName>
    <definedName name="WRG" hidden="1">{#N/A,#N/A,FALSE,"AVALUO";#N/A,#N/A,FALSE,"CONDOMINIO";#N/A,#N/A,FALSE,"IGECEM"}</definedName>
    <definedName name="wrn" hidden="1">{#N/A,#N/A,FALSE,"AVALUO";#N/A,#N/A,FALSE,"CONDOMINIO";#N/A,#N/A,FALSE,"IGECEM"}</definedName>
    <definedName name="wrn." hidden="1">{#N/A,#N/A,FALSE,"avaluo";#N/A,#N/A,FALSE,"fisico";#N/A,#N/A,FALSE,"rentas";#N/A,#N/A,FALSE,"deducciones";#N/A,#N/A,FALSE,"tasas";#N/A,#N/A,FALSE,"homolog";#N/A,#N/A,FALSE,"regresion";#N/A,#N/A,FALSE,"investigacion"}</definedName>
    <definedName name="wrn.1._.AVALUO._.DE._.CREDITO." localSheetId="8" hidden="1">{"TEXTO DEL AVALUO",#N/A,FALSE,"AVALUO";"CALCULOS Y DICTAMEN",#N/A,FALSE,"CALCULO CONDOMINIO"}</definedName>
    <definedName name="wrn.1._.AVALUO._.DE._.CREDITO." hidden="1">{"TEXTO DEL AVALUO",#N/A,FALSE,"AVALUO";"CALCULOS Y DICTAMEN",#N/A,FALSE,"CALCULO CONDOMINIO"}</definedName>
    <definedName name="wrn.17504" localSheetId="8" hidden="1">{#N/A,#N/A,FALSE,"AVALUO";#N/A,#N/A,FALSE,"CONDOMINIO";#N/A,#N/A,FALSE,"IGECEM"}</definedName>
    <definedName name="wrn.17504" hidden="1">{#N/A,#N/A,FALSE,"AVALUO";#N/A,#N/A,FALSE,"CONDOMINIO";#N/A,#N/A,FALSE,"IGECEM"}</definedName>
    <definedName name="wrn.17505." localSheetId="4" hidden="1">{#N/A,#N/A,FALSE,"AVALUO";#N/A,#N/A,FALSE,"CONDOMINIO";#N/A,#N/A,FALSE,"IGECEM"}</definedName>
    <definedName name="wrn.17505." localSheetId="8" hidden="1">{#N/A,#N/A,FALSE,"AVALUO";#N/A,#N/A,FALSE,"CONDOMINIO";#N/A,#N/A,FALSE,"IGECEM"}</definedName>
    <definedName name="wrn.17505." hidden="1">{#N/A,#N/A,FALSE,"AVALUO";#N/A,#N/A,FALSE,"CONDOMINIO";#N/A,#N/A,FALSE,"IGECEM"}</definedName>
    <definedName name="wrn.17506" localSheetId="8" hidden="1">{#N/A,#N/A,FALSE,"AVALUO";#N/A,#N/A,FALSE,"CONDOMINIO";#N/A,#N/A,FALSE,"IGECEM"}</definedName>
    <definedName name="WRN.17506" hidden="1">{#N/A,#N/A,FALSE,"AVALUO";#N/A,#N/A,FALSE,"CONDOMINIO";#N/A,#N/A,FALSE,"IGECEM"}</definedName>
    <definedName name="wrn.17506." localSheetId="4" hidden="1">{#N/A,#N/A,FALSE,"AVALUO";#N/A,#N/A,FALSE,"CONDOMINIO";#N/A,#N/A,FALSE,"IGECEM"}</definedName>
    <definedName name="wrn.17506." localSheetId="8" hidden="1">{#N/A,#N/A,FALSE,"AVALUO";#N/A,#N/A,FALSE,"CONDOMINIO";#N/A,#N/A,FALSE,"IGECEM"}</definedName>
    <definedName name="wrn.17506." hidden="1">{#N/A,#N/A,FALSE,"AVALUO";#N/A,#N/A,FALSE,"CONDOMINIO";#N/A,#N/A,FALSE,"IGECEM"}</definedName>
    <definedName name="wrn.17506a" localSheetId="8" hidden="1">{#N/A,#N/A,FALSE,"AVALUO";#N/A,#N/A,FALSE,"CONDOMINIO";#N/A,#N/A,FALSE,"IGECEM"}</definedName>
    <definedName name="wrn.17506a" hidden="1">{#N/A,#N/A,FALSE,"AVALUO";#N/A,#N/A,FALSE,"CONDOMINIO";#N/A,#N/A,FALSE,"IGECEM"}</definedName>
    <definedName name="WRN.17508" localSheetId="8" hidden="1">{#N/A,#N/A,FALSE,"AVALUO";#N/A,#N/A,FALSE,"CONDOMINIO";#N/A,#N/A,FALSE,"IGECEM"}</definedName>
    <definedName name="WRN.17508" hidden="1">{#N/A,#N/A,FALSE,"AVALUO";#N/A,#N/A,FALSE,"CONDOMINIO";#N/A,#N/A,FALSE,"IGECEM"}</definedName>
    <definedName name="wrn.2._.AVALUO._.FISCAL." localSheetId="8" hidden="1">{"TEXTO DEL AVALUO",#N/A,FALSE,"AVALUO";"CALCULOS CONDOMINIO",#N/A,FALSE,"CALCULO CONDOMINIO"}</definedName>
    <definedName name="wrn.2._.AVALUO._.FISCAL." hidden="1">{"TEXTO DEL AVALUO",#N/A,FALSE,"AVALUO";"CALCULOS CONDOMINIO",#N/A,FALSE,"CALCULO CONDOMINIO"}</definedName>
    <definedName name="wrn.3._.DICTAMEN._.SOLO." localSheetId="8" hidden="1">{"DICTAMEN",#N/A,FALSE,"CALCULO CONDOMINIO"}</definedName>
    <definedName name="wrn.3._.DICTAMEN._.SOLO." hidden="1">{"DICTAMEN",#N/A,FALSE,"CALCULO CONDOMINIO"}</definedName>
    <definedName name="wrn.AVALUO._.DE._.CONDOMINIO." localSheetId="4" hidden="1">{"AVALUO DE TEXTO",#N/A,FALSE,"AVALUO";"CALCULOS EN CONDOMINIO",#N/A,FALSE,"CONDOMINIO"}</definedName>
    <definedName name="wrn.AVALUO._.DE._.CONDOMINIO." localSheetId="8" hidden="1">{"AVALUO DE TEXTO",#N/A,FALSE,"AVALUO";"CALCULOS EN CONDOMINIO",#N/A,FALSE,"CONDOMINIO"}</definedName>
    <definedName name="wrn.AVALUO._.DE._.CONDOMINIO." hidden="1">{"AVALUO DE TEXTO",#N/A,FALSE,"AVALUO";"CALCULOS EN CONDOMINIO",#N/A,FALSE,"CONDOMINIO"}</definedName>
    <definedName name="wrn.Dictamen._.Financiero." hidden="1">{#N/A,#N/A,FALSE,"DICFIN"}</definedName>
    <definedName name="wrn.Dictamen._.Tecnico." hidden="1">{#N/A,#N/A,FALSE,"DICTEC"}</definedName>
    <definedName name="wrn.Esrudio._.Credito." hidden="1">{#N/A,#N/A,FALSE,"ESTUDIO1"}</definedName>
    <definedName name="wrn.Flujo._.Efectivo." hidden="1">{#N/A,#N/A,FALSE,"PROYFIN"}</definedName>
    <definedName name="wrn.FORMTDF." localSheetId="8" hidden="1">{#N/A,#N/A,FALSE,"avaluo";#N/A,#N/A,FALSE,"fisico";#N/A,#N/A,FALSE,"rentas";#N/A,#N/A,FALSE,"deducciones";#N/A,#N/A,FALSE,"tasas";#N/A,#N/A,FALSE,"homolog";#N/A,#N/A,FALSE,"regresion";#N/A,#N/A,FALSE,"investigacion"}</definedName>
    <definedName name="wrn.FORMTDF." hidden="1">{#N/A,#N/A,FALSE,"avaluo";#N/A,#N/A,FALSE,"fisico";#N/A,#N/A,FALSE,"rentas";#N/A,#N/A,FALSE,"deducciones";#N/A,#N/A,FALSE,"tasas";#N/A,#N/A,FALSE,"homolog";#N/A,#N/A,FALSE,"regresion";#N/A,#N/A,FALSE,"investigacion"}</definedName>
    <definedName name="wrn.fotos" hidden="1">{#N/A,#N/A,FALSE,"AVALUO";#N/A,#N/A,FALSE,"CONDOMINIO";#N/A,#N/A,FALSE,"TDF"}</definedName>
    <definedName name="wrn.IMPR.._.DE._.AVALUO." localSheetId="8" hidden="1">{"AVALUO",#N/A,FALSE,"AVALUO POR PRODUCTOS"}</definedName>
    <definedName name="wrn.IMPR.._.DE._.AVALUO." hidden="1">{"AVALUO",#N/A,FALSE,"AVALUO POR PRODUCTOS"}</definedName>
    <definedName name="wrn.IMPR.._.EST.._.DE._.CRED.." localSheetId="8" hidden="1">{"ESTUDIO DE CREDITO",#N/A,FALSE,"AVALUO POR PRODUCTOS"}</definedName>
    <definedName name="wrn.IMPR.._.EST.._.DE._.CRED.." hidden="1">{"ESTUDIO DE CREDITO",#N/A,FALSE,"AVALUO POR PRODUCTOS"}</definedName>
    <definedName name="wrn.MEMO._.DE._.BASES._.H.M.." localSheetId="4" hidden="1">{"ANVERSO",#N/A,FALSE,"MEMBASES";"REVERSO",#N/A,FALSE,"MEMBASES"}</definedName>
    <definedName name="wrn.MEMO._.DE._.BASES._.H.M.." localSheetId="8" hidden="1">{"ANVERSO",#N/A,FALSE,"MEMBASES";"REVERSO",#N/A,FALSE,"MEMBASES"}</definedName>
    <definedName name="wrn.MEMO._.DE._.BASES._.H.M.." hidden="1">{"ANVERSO",#N/A,FALSE,"MEMBASES";"REVERSO",#N/A,FALSE,"MEMBASES"}</definedName>
    <definedName name="wrn.p" hidden="1">{#N/A,#N/A,FALSE,"AVALUO";#N/A,#N/A,FALSE,"CONDOMINIO";#N/A,#N/A,FALSE,"TDF"}</definedName>
    <definedName name="wrn.probo" localSheetId="4" hidden="1">{#N/A,#N/A,FALSE,"AVALUO";#N/A,#N/A,FALSE,"CONDOMINIO";#N/A,#N/A,FALSE,"TDF"}</definedName>
    <definedName name="wrn.probo" localSheetId="8" hidden="1">{#N/A,#N/A,FALSE,"AVALUO";#N/A,#N/A,FALSE,"CONDOMINIO";#N/A,#N/A,FALSE,"TDF"}</definedName>
    <definedName name="wrn.probo" hidden="1">{#N/A,#N/A,FALSE,"AVALUO";#N/A,#N/A,FALSE,"CONDOMINIO";#N/A,#N/A,FALSE,"TDF"}</definedName>
    <definedName name="wrn.prueba" localSheetId="8" hidden="1">{#N/A,#N/A,FALSE,"AVALUO";#N/A,#N/A,FALSE,"CONDOMINIO";#N/A,#N/A,FALSE,"TDF"}</definedName>
    <definedName name="wrn.prueba" hidden="1">{#N/A,#N/A,FALSE,"AVALUO";#N/A,#N/A,FALSE,"CONDOMINIO";#N/A,#N/A,FALSE,"TDF"}</definedName>
    <definedName name="wrn.PRUEBA." localSheetId="4" hidden="1">{#N/A,#N/A,FALSE,"AVALUO";#N/A,#N/A,FALSE,"CONDOMINIO";#N/A,#N/A,FALSE,"TDF"}</definedName>
    <definedName name="wrn.PRUEBA." localSheetId="8" hidden="1">{#N/A,#N/A,FALSE,"AVALUO";#N/A,#N/A,FALSE,"CONDOMINIO";#N/A,#N/A,FALSE,"TDF"}</definedName>
    <definedName name="wrn.PRUEBA." hidden="1">{#N/A,#N/A,FALSE,"AVALUO";#N/A,#N/A,FALSE,"CONDOMINIO";#N/A,#N/A,FALSE,"TDF"}</definedName>
    <definedName name="wrn.RUEBA.1" localSheetId="8" hidden="1">{#N/A,#N/A,FALSE,"AVALUO";#N/A,#N/A,FALSE,"CONDOMINIO";#N/A,#N/A,FALSE,"TDF"}</definedName>
    <definedName name="wrn.RUEBA.1" hidden="1">{#N/A,#N/A,FALSE,"AVALUO";#N/A,#N/A,FALSE,"CONDOMINIO";#N/A,#N/A,FALSE,"TDF"}</definedName>
    <definedName name="wrn.SINTESIS." hidden="1">{#N/A,#N/A,FALSE,"SINTESIS"}</definedName>
    <definedName name="wrn.TODOS." hidden="1">{#N/A,#N/A,FALSE,"DICFIN";#N/A,#N/A,FALSE,"SINTESIS";#N/A,#N/A,FALSE,"PROYFIN";#N/A,#N/A,FALSE,"DICTEC";#N/A,#N/A,FALSE,"ESTUDIO1"}</definedName>
    <definedName name="WRRWHYRHY" localSheetId="8" hidden="1">{"AVALUO DE TEXTO",#N/A,FALSE,"AVALUO";"CALCULOS EN CONDOMINIO",#N/A,FALSE,"CONDOMINIO"}</definedName>
    <definedName name="WRRWHYRHY" hidden="1">{"AVALUO DE TEXTO",#N/A,FALSE,"AVALUO";"CALCULOS EN CONDOMINIO",#N/A,FALSE,"CONDOMINIO"}</definedName>
    <definedName name="WRY" localSheetId="8" hidden="1">{#N/A,#N/A,FALSE,"AVALUO";#N/A,#N/A,FALSE,"CONDOMINIO";#N/A,#N/A,FALSE,"TDF"}</definedName>
    <definedName name="WRY" hidden="1">{#N/A,#N/A,FALSE,"AVALUO";#N/A,#N/A,FALSE,"CONDOMINIO";#N/A,#N/A,FALSE,"TDF"}</definedName>
    <definedName name="wser" localSheetId="8" hidden="1">{#N/A,#N/A,FALSE,"AVALUO";#N/A,#N/A,FALSE,"CONDOMINIO";#N/A,#N/A,FALSE,"TDF"}</definedName>
    <definedName name="wser" hidden="1">{#N/A,#N/A,FALSE,"AVALUO";#N/A,#N/A,FALSE,"CONDOMINIO";#N/A,#N/A,FALSE,"TDF"}</definedName>
    <definedName name="wteetete" localSheetId="8" hidden="1">{#N/A,#N/A,FALSE,"AVALUO";#N/A,#N/A,FALSE,"CONDOMINIO";#N/A,#N/A,FALSE,"TDF"}</definedName>
    <definedName name="wteetete" hidden="1">{#N/A,#N/A,FALSE,"AVALUO";#N/A,#N/A,FALSE,"CONDOMINIO";#N/A,#N/A,FALSE,"TDF"}</definedName>
    <definedName name="wwwww" localSheetId="8" hidden="1">{#N/A,#N/A,FALSE,"AVALUO";#N/A,#N/A,FALSE,"CONDOMINIO";#N/A,#N/A,FALSE,"IGECEM"}</definedName>
    <definedName name="wwwww" hidden="1">{#N/A,#N/A,FALSE,"AVALUO";#N/A,#N/A,FALSE,"CONDOMINIO";#N/A,#N/A,FALSE,"IGECEM"}</definedName>
    <definedName name="wwwwwwwwwwwwwww" hidden="1">#N/A</definedName>
    <definedName name="x" hidden="1">{"TEXTO DEL AVALUO",#N/A,TRUE,"AVALUO";"CALCULOS Y DICTAMEN",#N/A,TRUE,"CONDOMINIO"}</definedName>
    <definedName name="XCB" localSheetId="8" hidden="1">{#N/A,#N/A,FALSE,"AVALUO";#N/A,#N/A,FALSE,"CONDOMINIO";#N/A,#N/A,FALSE,"TDF"}</definedName>
    <definedName name="XCB" hidden="1">{#N/A,#N/A,FALSE,"AVALUO";#N/A,#N/A,FALSE,"CONDOMINIO";#N/A,#N/A,FALSE,"TDF"}</definedName>
    <definedName name="xcbsdgsdgd" localSheetId="8" hidden="1">{"TEXTO DEL AVALUO",#N/A,TRUE,"AVALUO";"CALCULOS Y DICTAMEN",#N/A,TRUE,"CONDOMINIO"}</definedName>
    <definedName name="xcbsdgsdgd" hidden="1">{"TEXTO DEL AVALUO",#N/A,TRUE,"AVALUO";"CALCULOS Y DICTAMEN",#N/A,TRUE,"CONDOMINIO"}</definedName>
    <definedName name="XCV" localSheetId="8" hidden="1">{"AVALUO DE TEXTO",#N/A,FALSE,"AVALUO";"CALCULOS EN CONDOMINIO",#N/A,FALSE,"CONDOMINIO"}</definedName>
    <definedName name="XCV" hidden="1">{"AVALUO DE TEXTO",#N/A,FALSE,"AVALUO";"CALCULOS EN CONDOMINIO",#N/A,FALSE,"CONDOMINIO"}</definedName>
    <definedName name="XCVB" localSheetId="8" hidden="1">{"ANVERSO",#N/A,FALSE,"MEMBASES";"REVERSO",#N/A,FALSE,"MEMBASES"}</definedName>
    <definedName name="XCVB" hidden="1">{"ANVERSO",#N/A,FALSE,"MEMBASES";"REVERSO",#N/A,FALSE,"MEMBASES"}</definedName>
    <definedName name="XXX" localSheetId="8" hidden="1">{#N/A,#N/A,FALSE,"avaluo";#N/A,#N/A,FALSE,"fisico";#N/A,#N/A,FALSE,"rentas";#N/A,#N/A,FALSE,"deducciones";#N/A,#N/A,FALSE,"tasas";#N/A,#N/A,FALSE,"homolog";#N/A,#N/A,FALSE,"regresion";#N/A,#N/A,FALSE,"investigacion"}</definedName>
    <definedName name="XXX" hidden="1">{#N/A,#N/A,FALSE,"avaluo";#N/A,#N/A,FALSE,"fisico";#N/A,#N/A,FALSE,"rentas";#N/A,#N/A,FALSE,"deducciones";#N/A,#N/A,FALSE,"tasas";#N/A,#N/A,FALSE,"homolog";#N/A,#N/A,FALSE,"regresion";#N/A,#N/A,FALSE,"investigacion"}</definedName>
    <definedName name="XXXXXXXXXXXXXXXXXXXXXXXXXX" hidden="1">{#N/A,#N/A,FALSE,"SINTESIS"}</definedName>
    <definedName name="Y" hidden="1">{"ANVERSO",#N/A,FALSE,"MEMBASES";"REVERSO",#N/A,FALSE,"MEMBASES"}</definedName>
    <definedName name="ya" hidden="1">{"TEXTO DEL AVALUO",#N/A,TRUE,"AVALUO";"CALCULOS Y DICTAMEN",#N/A,TRUE,"CONDOMINIO"}</definedName>
    <definedName name="ygv" hidden="1">{"ANVERSO",#N/A,FALSE,"MEMBASES";"REVERSO",#N/A,FALSE,"MEMBASES"}</definedName>
    <definedName name="yiouopy8poyi" localSheetId="8" hidden="1">{#N/A,#N/A,FALSE,"AVALUO";#N/A,#N/A,FALSE,"CONDOMINIO";#N/A,#N/A,FALSE,"IGECEM"}</definedName>
    <definedName name="yiouopy8poyi" hidden="1">{#N/A,#N/A,FALSE,"AVALUO";#N/A,#N/A,FALSE,"CONDOMINIO";#N/A,#N/A,FALSE,"IGECEM"}</definedName>
    <definedName name="yiuyypip" localSheetId="8" hidden="1">{#N/A,#N/A,FALSE,"AVALUO";#N/A,#N/A,FALSE,"CONDOMINIO";#N/A,#N/A,FALSE,"TDF"}</definedName>
    <definedName name="yiuyypip" hidden="1">{#N/A,#N/A,FALSE,"AVALUO";#N/A,#N/A,FALSE,"CONDOMINIO";#N/A,#N/A,FALSE,"TDF"}</definedName>
    <definedName name="YO" localSheetId="8" hidden="1">{#N/A,#N/A,FALSE,"AVALUO";#N/A,#N/A,FALSE,"CONDOMINIO";#N/A,#N/A,FALSE,"IGECEM"}</definedName>
    <definedName name="YO" hidden="1">{#N/A,#N/A,FALSE,"AVALUO";#N/A,#N/A,FALSE,"CONDOMINIO";#N/A,#N/A,FALSE,"IGECEM"}</definedName>
    <definedName name="yreryery" localSheetId="8" hidden="1">{"ANVERSO",#N/A,FALSE,"MEMBASES";"REVERSO",#N/A,FALSE,"MEMBASES"}</definedName>
    <definedName name="yreryery" hidden="1">{"ANVERSO",#N/A,FALSE,"MEMBASES";"REVERSO",#N/A,FALSE,"MEMBASES"}</definedName>
    <definedName name="yrtutrutu" localSheetId="8" hidden="1">{"AVALUO DE TEXTO",#N/A,FALSE,"AVALUO";"CALCULOS EN CONDOMINIO",#N/A,FALSE,"CONDOMINIO"}</definedName>
    <definedName name="yrtutrutu" hidden="1">{"AVALUO DE TEXTO",#N/A,FALSE,"AVALUO";"CALCULOS EN CONDOMINIO",#N/A,FALSE,"CONDOMINIO"}</definedName>
    <definedName name="ytr" hidden="1">{#N/A,#N/A,FALSE,"AVALUO";#N/A,#N/A,FALSE,"CONDOMINIO";#N/A,#N/A,FALSE,"TDF"}</definedName>
    <definedName name="ytreryry" localSheetId="8" hidden="1">{"AVALUO DE TEXTO",#N/A,FALSE,"AVALUO";"CALCULOS EN CONDOMINIO",#N/A,FALSE,"CONDOMINIO"}</definedName>
    <definedName name="ytreryry" hidden="1">{"AVALUO DE TEXTO",#N/A,FALSE,"AVALUO";"CALCULOS EN CONDOMINIO",#N/A,FALSE,"CONDOMINIO"}</definedName>
    <definedName name="yuoyuoyuo" localSheetId="8" hidden="1">{"TEXTO DEL AVALUO",#N/A,FALSE,"AVALUO";"CALCULOS Y DICTAMEN",#N/A,FALSE,"CONDOMINIO"}</definedName>
    <definedName name="yuoyuoyuo" hidden="1">{"TEXTO DEL AVALUO",#N/A,FALSE,"AVALUO";"CALCULOS Y DICTAMEN",#N/A,FALSE,"CONDOMINIO"}</definedName>
    <definedName name="yuoyuoyuoyuo" localSheetId="8" hidden="1">{#N/A,#N/A,FALSE,"AVALUO";#N/A,#N/A,FALSE,"CONDOMINIO";#N/A,#N/A,FALSE,"IGECEM"}</definedName>
    <definedName name="yuoyuoyuoyuo" hidden="1">{#N/A,#N/A,FALSE,"AVALUO";#N/A,#N/A,FALSE,"CONDOMINIO";#N/A,#N/A,FALSE,"IGECEM"}</definedName>
    <definedName name="yutrutrut" localSheetId="8" hidden="1">{#N/A,#N/A,FALSE,"AVALUO";#N/A,#N/A,FALSE,"CONDOMINIO";#N/A,#N/A,FALSE,"TDF"}</definedName>
    <definedName name="yutrutrut" hidden="1">{#N/A,#N/A,FALSE,"AVALUO";#N/A,#N/A,FALSE,"CONDOMINIO";#N/A,#N/A,FALSE,"TDF"}</definedName>
    <definedName name="yyrtytry" localSheetId="8" hidden="1">{#N/A,#N/A,FALSE,"AVALUO";#N/A,#N/A,FALSE,"CONDOMINIO";#N/A,#N/A,FALSE,"TDF"}</definedName>
    <definedName name="yyrtytry" hidden="1">{#N/A,#N/A,FALSE,"AVALUO";#N/A,#N/A,FALSE,"CONDOMINIO";#N/A,#N/A,FALSE,"TDF"}</definedName>
    <definedName name="yyuyy" localSheetId="8" hidden="1">{"AVALUO DE TEXTO",#N/A,FALSE,"AVALUO";"CALCULOS EN CONDOMINIO",#N/A,FALSE,"CONDOMINIO"}</definedName>
    <definedName name="yyuyy" hidden="1">{"AVALUO DE TEXTO",#N/A,FALSE,"AVALUO";"CALCULOS EN CONDOMINIO",#N/A,FALSE,"CONDOMINIO"}</definedName>
    <definedName name="yyyyy" localSheetId="8" hidden="1">{#N/A,#N/A,FALSE,"AVALUO";#N/A,#N/A,FALSE,"CONDOMINIO";#N/A,#N/A,FALSE,"TDF"}</definedName>
    <definedName name="yyyyy" hidden="1">{#N/A,#N/A,FALSE,"AVALUO";#N/A,#N/A,FALSE,"CONDOMINIO";#N/A,#N/A,FALSE,"TDF"}</definedName>
    <definedName name="Z" localSheetId="8" hidden="1">{#N/A,#N/A,FALSE,"AVALUO";#N/A,#N/A,FALSE,"CONDOMINIO";#N/A,#N/A,FALSE,"IGECEM"}</definedName>
    <definedName name="Z" hidden="1">{#N/A,#N/A,FALSE,"AVALUO";#N/A,#N/A,FALSE,"CONDOMINIO";#N/A,#N/A,FALSE,"IGECEM"}</definedName>
    <definedName name="Z_8D1D9BE5_FBB2_4F69_857F_FA80CEB7BDC0_.wvu.Cols" hidden="1">#REF!,#REF!,#REF!,#REF!,#REF!,#REF!,#REF!,#REF!,#REF!</definedName>
    <definedName name="Z_8D1D9BE5_FBB2_4F69_857F_FA80CEB7BDC0_.wvu.Rows" hidden="1">#REF!,#REF!,#REF!,#REF!,#REF!,#REF!,#REF!,#REF!,#REF!</definedName>
    <definedName name="Z_AAB92F7C_5789_4258_9BC3_E4987914AC22_.wvu.Cols" hidden="1">#REF!,#REF!,#REF!,#REF!,#REF!,#REF!,#REF!,#REF!,#REF!</definedName>
    <definedName name="Z_AAB92F7C_5789_4258_9BC3_E4987914AC22_.wvu.Rows" hidden="1">#REF!,#REF!,#REF!,#REF!,#REF!,#REF!,#REF!,#REF!,#REF!</definedName>
    <definedName name="Z_F492FFA0_CB98_4748_9BCD_5030CD074C10_.wvu.Cols" hidden="1">#REF!,#REF!,#REF!,#REF!,#REF!,#REF!,#REF!,#REF!,#REF!</definedName>
    <definedName name="Z_F492FFA0_CB98_4748_9BCD_5030CD074C10_.wvu.Rows" hidden="1">#REF!,#REF!,#REF!,#REF!,#REF!,#REF!,#REF!,#REF!,#REF!</definedName>
    <definedName name="zad" hidden="1">{"TEXTO DEL AVALUO",#N/A,FALSE,"AVALUO";"CALCULOS Y DICTAMEN",#N/A,FALSE,"CONDOMINIO"}</definedName>
    <definedName name="ZX" localSheetId="8" hidden="1">{#N/A,#N/A,FALSE,"AVALUO";#N/A,#N/A,FALSE,"CONDOMINIO";#N/A,#N/A,FALSE,"IGECEM"}</definedName>
    <definedName name="ZX" hidden="1">{#N/A,#N/A,FALSE,"AVALUO";#N/A,#N/A,FALSE,"CONDOMINIO";#N/A,#N/A,FALSE,"IGECEM"}</definedName>
    <definedName name="ZXC" localSheetId="8" hidden="1">{"TEXTO DEL AVALUO",#N/A,TRUE,"AVALUO";"CALCULOS Y DICTAMEN",#N/A,TRUE,"CONDOMINIO"}</definedName>
    <definedName name="ZXC" hidden="1">{"TEXTO DEL AVALUO",#N/A,TRUE,"AVALUO";"CALCULOS Y DICTAMEN",#N/A,TRUE,"CONDOMINIO"}</definedName>
    <definedName name="zxvxzvxvxv" localSheetId="8" hidden="1">{"ANVERSO",#N/A,FALSE,"MEMBASES";"REVERSO",#N/A,FALSE,"MEMBASES"}</definedName>
    <definedName name="zxvxzvxvxv" hidden="1">{"ANVERSO",#N/A,FALSE,"MEMBASES";"REVERSO",#N/A,FALSE,"MEMBASES"}</definedName>
    <definedName name="zxvxzvzx" localSheetId="8" hidden="1">{#N/A,#N/A,FALSE,"AVALUO";#N/A,#N/A,FALSE,"CONDOMINIO";#N/A,#N/A,FALSE,"IGECEM"}</definedName>
    <definedName name="zxvxzvzx" hidden="1">{#N/A,#N/A,FALSE,"AVALUO";#N/A,#N/A,FALSE,"CONDOMINIO";#N/A,#N/A,FALSE,"IGECEM"}</definedName>
    <definedName name="zz" localSheetId="8" hidden="1">{#N/A,#N/A,FALSE,"AVALUO";#N/A,#N/A,FALSE,"CONDOMINIO";#N/A,#N/A,FALSE,"TDF"}</definedName>
    <definedName name="zz" hidden="1">{#N/A,#N/A,FALSE,"AVALUO";#N/A,#N/A,FALSE,"CONDOMINIO";#N/A,#N/A,FALSE,"TDF"}</definedName>
    <definedName name="zzz" hidden="1">{"TEXTO DEL AVALUO",#N/A,TRUE,"AVALUO";"CALCULOS Y DICTAMEN",#N/A,TRUE,"CONDOMINIO"}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85" i="11" l="1"/>
  <c r="D337" i="18"/>
  <c r="D334" i="18"/>
  <c r="D331" i="18"/>
  <c r="F1369" i="17"/>
  <c r="F1363" i="17"/>
  <c r="F1357" i="17"/>
  <c r="C1371" i="17"/>
  <c r="C1372" i="17"/>
  <c r="C1373" i="17"/>
  <c r="C1374" i="17" s="1"/>
  <c r="D332" i="18"/>
  <c r="C332" i="18"/>
  <c r="C338" i="18"/>
  <c r="C335" i="18"/>
  <c r="D18" i="20" l="1"/>
  <c r="AD294" i="28" l="1"/>
  <c r="AD293" i="28"/>
  <c r="AD292" i="28"/>
  <c r="AD291" i="28"/>
  <c r="AD290" i="28"/>
  <c r="AD289" i="28"/>
  <c r="F1350" i="17" l="1"/>
  <c r="L1354" i="17" s="1"/>
  <c r="J22" i="28"/>
  <c r="AB36" i="28"/>
  <c r="Y1" i="28"/>
  <c r="X1" i="28"/>
  <c r="AB26" i="28"/>
  <c r="N23" i="28"/>
  <c r="N22" i="28"/>
  <c r="D335" i="18" l="1"/>
  <c r="C20" i="17" l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02" i="17" s="1"/>
  <c r="C203" i="17" s="1"/>
  <c r="C204" i="17" s="1"/>
  <c r="C205" i="17" s="1"/>
  <c r="C206" i="17" s="1"/>
  <c r="C207" i="17" s="1"/>
  <c r="C208" i="17" s="1"/>
  <c r="C209" i="17" s="1"/>
  <c r="C210" i="17" s="1"/>
  <c r="C211" i="17" s="1"/>
  <c r="C212" i="17" s="1"/>
  <c r="C213" i="17" s="1"/>
  <c r="C214" i="17" s="1"/>
  <c r="C215" i="17" s="1"/>
  <c r="C216" i="17" s="1"/>
  <c r="C217" i="17" s="1"/>
  <c r="C218" i="17" s="1"/>
  <c r="C219" i="17" s="1"/>
  <c r="C220" i="17" s="1"/>
  <c r="C221" i="17" s="1"/>
  <c r="C222" i="17" s="1"/>
  <c r="C223" i="17" s="1"/>
  <c r="C224" i="17" s="1"/>
  <c r="C225" i="17" s="1"/>
  <c r="C226" i="17" s="1"/>
  <c r="C227" i="17" s="1"/>
  <c r="C228" i="17" s="1"/>
  <c r="C229" i="17" s="1"/>
  <c r="C230" i="17" s="1"/>
  <c r="C231" i="17" s="1"/>
  <c r="C232" i="17" s="1"/>
  <c r="C233" i="17" s="1"/>
  <c r="C234" i="17" s="1"/>
  <c r="C235" i="17" s="1"/>
  <c r="C236" i="17" s="1"/>
  <c r="C237" i="17" s="1"/>
  <c r="C238" i="17" s="1"/>
  <c r="C239" i="17" s="1"/>
  <c r="C240" i="17" s="1"/>
  <c r="C241" i="17" s="1"/>
  <c r="C242" i="17" s="1"/>
  <c r="C243" i="17" s="1"/>
  <c r="C244" i="17" s="1"/>
  <c r="C245" i="17" s="1"/>
  <c r="C246" i="17" s="1"/>
  <c r="C247" i="17" s="1"/>
  <c r="C248" i="17" s="1"/>
  <c r="C249" i="17" s="1"/>
  <c r="C250" i="17" s="1"/>
  <c r="C251" i="17" s="1"/>
  <c r="C252" i="17" s="1"/>
  <c r="C253" i="17" s="1"/>
  <c r="C254" i="17" s="1"/>
  <c r="C255" i="17" s="1"/>
  <c r="C256" i="17" s="1"/>
  <c r="C257" i="17" s="1"/>
  <c r="C258" i="17" s="1"/>
  <c r="C259" i="17" s="1"/>
  <c r="C260" i="17" s="1"/>
  <c r="C261" i="17" s="1"/>
  <c r="C262" i="17" s="1"/>
  <c r="C263" i="17" s="1"/>
  <c r="C264" i="17" s="1"/>
  <c r="C265" i="17" s="1"/>
  <c r="C266" i="17" s="1"/>
  <c r="C267" i="17" s="1"/>
  <c r="C268" i="17" s="1"/>
  <c r="C269" i="17" s="1"/>
  <c r="C270" i="17" s="1"/>
  <c r="C271" i="17" s="1"/>
  <c r="C272" i="17" s="1"/>
  <c r="C273" i="17" s="1"/>
  <c r="C274" i="17" s="1"/>
  <c r="C275" i="17" s="1"/>
  <c r="C276" i="17" s="1"/>
  <c r="C277" i="17" s="1"/>
  <c r="C278" i="17" s="1"/>
  <c r="C279" i="17" s="1"/>
  <c r="C280" i="17" s="1"/>
  <c r="C281" i="17" s="1"/>
  <c r="C282" i="17" s="1"/>
  <c r="C283" i="17" s="1"/>
  <c r="C284" i="17" s="1"/>
  <c r="C285" i="17" s="1"/>
  <c r="C286" i="17" s="1"/>
  <c r="C287" i="17" s="1"/>
  <c r="C288" i="17" s="1"/>
  <c r="C289" i="17" s="1"/>
  <c r="C290" i="17" s="1"/>
  <c r="C291" i="17" s="1"/>
  <c r="C292" i="17" s="1"/>
  <c r="C293" i="17" s="1"/>
  <c r="C294" i="17" s="1"/>
  <c r="C295" i="17" s="1"/>
  <c r="C296" i="17" s="1"/>
  <c r="C297" i="17" s="1"/>
  <c r="C298" i="17" s="1"/>
  <c r="C299" i="17" s="1"/>
  <c r="C300" i="17" s="1"/>
  <c r="C301" i="17" s="1"/>
  <c r="C302" i="17" s="1"/>
  <c r="C303" i="17" s="1"/>
  <c r="C304" i="17" s="1"/>
  <c r="C305" i="17" s="1"/>
  <c r="C306" i="17" s="1"/>
  <c r="C307" i="17" s="1"/>
  <c r="C308" i="17" s="1"/>
  <c r="C309" i="17" s="1"/>
  <c r="C310" i="17" s="1"/>
  <c r="C311" i="17" s="1"/>
  <c r="C312" i="17" s="1"/>
  <c r="C313" i="17" s="1"/>
  <c r="C314" i="17" s="1"/>
  <c r="C315" i="17" s="1"/>
  <c r="C316" i="17" s="1"/>
  <c r="C317" i="17" s="1"/>
  <c r="C318" i="17" s="1"/>
  <c r="C319" i="17" s="1"/>
  <c r="C320" i="17" s="1"/>
  <c r="C321" i="17" s="1"/>
  <c r="C322" i="17" s="1"/>
  <c r="C323" i="17" s="1"/>
  <c r="C324" i="17" s="1"/>
  <c r="C325" i="17" s="1"/>
  <c r="C326" i="17" s="1"/>
  <c r="C327" i="17" s="1"/>
  <c r="C328" i="17" s="1"/>
  <c r="C329" i="17" s="1"/>
  <c r="C330" i="17" s="1"/>
  <c r="C331" i="17" s="1"/>
  <c r="C332" i="17" s="1"/>
  <c r="C333" i="17" s="1"/>
  <c r="C334" i="17" s="1"/>
  <c r="C335" i="17" s="1"/>
  <c r="C336" i="17" s="1"/>
  <c r="C337" i="17" s="1"/>
  <c r="C338" i="17" s="1"/>
  <c r="C339" i="17" s="1"/>
  <c r="C340" i="17" s="1"/>
  <c r="C341" i="17" s="1"/>
  <c r="C342" i="17" s="1"/>
  <c r="C343" i="17" s="1"/>
  <c r="C344" i="17" s="1"/>
  <c r="C345" i="17" s="1"/>
  <c r="C346" i="17" s="1"/>
  <c r="C347" i="17" s="1"/>
  <c r="C348" i="17" s="1"/>
  <c r="C349" i="17" s="1"/>
  <c r="C350" i="17" s="1"/>
  <c r="C351" i="17" s="1"/>
  <c r="C352" i="17" s="1"/>
  <c r="C353" i="17" s="1"/>
  <c r="C354" i="17" s="1"/>
  <c r="C355" i="17" s="1"/>
  <c r="C356" i="17" s="1"/>
  <c r="C357" i="17" s="1"/>
  <c r="C358" i="17" s="1"/>
  <c r="C359" i="17" s="1"/>
  <c r="C360" i="17" s="1"/>
  <c r="C361" i="17" s="1"/>
  <c r="C362" i="17" s="1"/>
  <c r="C363" i="17" s="1"/>
  <c r="C364" i="17" s="1"/>
  <c r="C365" i="17" s="1"/>
  <c r="C366" i="17" s="1"/>
  <c r="C367" i="17" s="1"/>
  <c r="C368" i="17" s="1"/>
  <c r="C369" i="17" s="1"/>
  <c r="C370" i="17" s="1"/>
  <c r="C371" i="17" s="1"/>
  <c r="C372" i="17" s="1"/>
  <c r="C373" i="17" s="1"/>
  <c r="C374" i="17" s="1"/>
  <c r="C375" i="17" s="1"/>
  <c r="C376" i="17" s="1"/>
  <c r="C377" i="17" s="1"/>
  <c r="C378" i="17" s="1"/>
  <c r="C379" i="17" s="1"/>
  <c r="C380" i="17" s="1"/>
  <c r="C381" i="17" s="1"/>
  <c r="C382" i="17" s="1"/>
  <c r="C383" i="17" s="1"/>
  <c r="C384" i="17" s="1"/>
  <c r="C385" i="17" s="1"/>
  <c r="C386" i="17" s="1"/>
  <c r="C387" i="17" s="1"/>
  <c r="C388" i="17" s="1"/>
  <c r="C389" i="17" s="1"/>
  <c r="C390" i="17" s="1"/>
  <c r="C391" i="17" s="1"/>
  <c r="C392" i="17" s="1"/>
  <c r="C393" i="17" s="1"/>
  <c r="C394" i="17" s="1"/>
  <c r="C395" i="17" s="1"/>
  <c r="C396" i="17" s="1"/>
  <c r="C397" i="17" s="1"/>
  <c r="C398" i="17" s="1"/>
  <c r="C399" i="17" s="1"/>
  <c r="C400" i="17" s="1"/>
  <c r="C401" i="17" s="1"/>
  <c r="C402" i="17" s="1"/>
  <c r="C403" i="17" s="1"/>
  <c r="C404" i="17" s="1"/>
  <c r="C405" i="17" s="1"/>
  <c r="C406" i="17" s="1"/>
  <c r="C407" i="17" s="1"/>
  <c r="C408" i="17" s="1"/>
  <c r="C409" i="17" s="1"/>
  <c r="C410" i="17" s="1"/>
  <c r="C411" i="17" s="1"/>
  <c r="C412" i="17" s="1"/>
  <c r="C413" i="17" s="1"/>
  <c r="C414" i="17" s="1"/>
  <c r="C415" i="17" s="1"/>
  <c r="C416" i="17" s="1"/>
  <c r="C417" i="17" s="1"/>
  <c r="C418" i="17" s="1"/>
  <c r="C419" i="17" s="1"/>
  <c r="C420" i="17" s="1"/>
  <c r="C421" i="17" s="1"/>
  <c r="C422" i="17" s="1"/>
  <c r="C423" i="17" s="1"/>
  <c r="C424" i="17" s="1"/>
  <c r="C425" i="17" s="1"/>
  <c r="C426" i="17" s="1"/>
  <c r="C427" i="17" s="1"/>
  <c r="C428" i="17" s="1"/>
  <c r="C429" i="17" s="1"/>
  <c r="C430" i="17" s="1"/>
  <c r="C431" i="17" s="1"/>
  <c r="C432" i="17" s="1"/>
  <c r="C433" i="17" s="1"/>
  <c r="C434" i="17" s="1"/>
  <c r="C435" i="17" s="1"/>
  <c r="C436" i="17" s="1"/>
  <c r="C437" i="17" s="1"/>
  <c r="C438" i="17" s="1"/>
  <c r="C439" i="17" s="1"/>
  <c r="C440" i="17" s="1"/>
  <c r="C441" i="17" s="1"/>
  <c r="C442" i="17" s="1"/>
  <c r="C443" i="17" s="1"/>
  <c r="C444" i="17" s="1"/>
  <c r="C445" i="17" s="1"/>
  <c r="C446" i="17" s="1"/>
  <c r="C447" i="17" s="1"/>
  <c r="C448" i="17" s="1"/>
  <c r="C449" i="17" s="1"/>
  <c r="C450" i="17" s="1"/>
  <c r="C451" i="17" s="1"/>
  <c r="C452" i="17" s="1"/>
  <c r="C453" i="17" s="1"/>
  <c r="C454" i="17" s="1"/>
  <c r="C455" i="17" s="1"/>
  <c r="C456" i="17" s="1"/>
  <c r="C457" i="17" s="1"/>
  <c r="C458" i="17" s="1"/>
  <c r="C459" i="17" s="1"/>
  <c r="C460" i="17" s="1"/>
  <c r="C461" i="17" s="1"/>
  <c r="C462" i="17" s="1"/>
  <c r="C463" i="17" s="1"/>
  <c r="C464" i="17" s="1"/>
  <c r="C465" i="17" s="1"/>
  <c r="C466" i="17" s="1"/>
  <c r="C467" i="17" s="1"/>
  <c r="C468" i="17" s="1"/>
  <c r="C469" i="17" s="1"/>
  <c r="C470" i="17" s="1"/>
  <c r="C471" i="17" s="1"/>
  <c r="C472" i="17" s="1"/>
  <c r="C473" i="17" s="1"/>
  <c r="C474" i="17" s="1"/>
  <c r="C475" i="17" s="1"/>
  <c r="C476" i="17" s="1"/>
  <c r="C477" i="17" s="1"/>
  <c r="C478" i="17" s="1"/>
  <c r="C479" i="17" s="1"/>
  <c r="C480" i="17" s="1"/>
  <c r="C481" i="17" s="1"/>
  <c r="C482" i="17" s="1"/>
  <c r="C483" i="17" s="1"/>
  <c r="C484" i="17" s="1"/>
  <c r="C485" i="17" s="1"/>
  <c r="C486" i="17" s="1"/>
  <c r="C487" i="17" s="1"/>
  <c r="C488" i="17" s="1"/>
  <c r="C489" i="17" s="1"/>
  <c r="C490" i="17" s="1"/>
  <c r="C491" i="17" s="1"/>
  <c r="C492" i="17" s="1"/>
  <c r="C493" i="17" s="1"/>
  <c r="C494" i="17" s="1"/>
  <c r="C495" i="17" s="1"/>
  <c r="C496" i="17" s="1"/>
  <c r="C497" i="17" s="1"/>
  <c r="C498" i="17" s="1"/>
  <c r="C499" i="17" s="1"/>
  <c r="C500" i="17" s="1"/>
  <c r="C501" i="17" s="1"/>
  <c r="C502" i="17" s="1"/>
  <c r="C503" i="17" s="1"/>
  <c r="C504" i="17" s="1"/>
  <c r="C505" i="17" s="1"/>
  <c r="C506" i="17" s="1"/>
  <c r="C507" i="17" s="1"/>
  <c r="C508" i="17" s="1"/>
  <c r="C509" i="17" s="1"/>
  <c r="C510" i="17" s="1"/>
  <c r="C511" i="17" s="1"/>
  <c r="C512" i="17" s="1"/>
  <c r="C513" i="17" s="1"/>
  <c r="C514" i="17" s="1"/>
  <c r="C515" i="17" s="1"/>
  <c r="C516" i="17" s="1"/>
  <c r="C517" i="17" s="1"/>
  <c r="C518" i="17" s="1"/>
  <c r="C519" i="17" s="1"/>
  <c r="C520" i="17" s="1"/>
  <c r="C521" i="17" s="1"/>
  <c r="C522" i="17" s="1"/>
  <c r="C523" i="17" s="1"/>
  <c r="C524" i="17" s="1"/>
  <c r="C525" i="17" s="1"/>
  <c r="C526" i="17" s="1"/>
  <c r="C527" i="17" s="1"/>
  <c r="C528" i="17" s="1"/>
  <c r="C529" i="17" s="1"/>
  <c r="C530" i="17" s="1"/>
  <c r="C531" i="17" s="1"/>
  <c r="C532" i="17" s="1"/>
  <c r="C533" i="17" s="1"/>
  <c r="C534" i="17" s="1"/>
  <c r="C535" i="17" s="1"/>
  <c r="C536" i="17" s="1"/>
  <c r="C537" i="17" s="1"/>
  <c r="C538" i="17" s="1"/>
  <c r="C539" i="17" s="1"/>
  <c r="C540" i="17" s="1"/>
  <c r="C541" i="17" s="1"/>
  <c r="C542" i="17" s="1"/>
  <c r="C543" i="17" s="1"/>
  <c r="C544" i="17" s="1"/>
  <c r="C545" i="17" s="1"/>
  <c r="C546" i="17" s="1"/>
  <c r="C547" i="17" s="1"/>
  <c r="C548" i="17" s="1"/>
  <c r="C549" i="17" s="1"/>
  <c r="C550" i="17" s="1"/>
  <c r="C551" i="17" s="1"/>
  <c r="C552" i="17" s="1"/>
  <c r="C553" i="17" s="1"/>
  <c r="C554" i="17" s="1"/>
  <c r="C555" i="17" s="1"/>
  <c r="C556" i="17" s="1"/>
  <c r="C557" i="17" s="1"/>
  <c r="C558" i="17" s="1"/>
  <c r="C559" i="17" s="1"/>
  <c r="C560" i="17" s="1"/>
  <c r="C561" i="17" s="1"/>
  <c r="C562" i="17" s="1"/>
  <c r="C563" i="17" s="1"/>
  <c r="C564" i="17" s="1"/>
  <c r="C565" i="17" s="1"/>
  <c r="C566" i="17" s="1"/>
  <c r="C567" i="17" s="1"/>
  <c r="C568" i="17" s="1"/>
  <c r="C569" i="17" s="1"/>
  <c r="C570" i="17" s="1"/>
  <c r="C571" i="17" s="1"/>
  <c r="C572" i="17" s="1"/>
  <c r="C573" i="17" s="1"/>
  <c r="C574" i="17" s="1"/>
  <c r="C575" i="17" s="1"/>
  <c r="C576" i="17" s="1"/>
  <c r="C577" i="17" s="1"/>
  <c r="C578" i="17" s="1"/>
  <c r="C579" i="17" s="1"/>
  <c r="C580" i="17" s="1"/>
  <c r="C581" i="17" s="1"/>
  <c r="C582" i="17" s="1"/>
  <c r="C583" i="17" s="1"/>
  <c r="C584" i="17" s="1"/>
  <c r="C585" i="17" s="1"/>
  <c r="C586" i="17" s="1"/>
  <c r="C587" i="17" s="1"/>
  <c r="C588" i="17" s="1"/>
  <c r="C589" i="17" s="1"/>
  <c r="C590" i="17" s="1"/>
  <c r="C591" i="17" s="1"/>
  <c r="C592" i="17" s="1"/>
  <c r="C593" i="17" s="1"/>
  <c r="C594" i="17" s="1"/>
  <c r="C595" i="17" s="1"/>
  <c r="C596" i="17" s="1"/>
  <c r="C597" i="17" s="1"/>
  <c r="C598" i="17" s="1"/>
  <c r="C599" i="17" s="1"/>
  <c r="C600" i="17" s="1"/>
  <c r="C601" i="17" s="1"/>
  <c r="C602" i="17" s="1"/>
  <c r="C603" i="17" s="1"/>
  <c r="C604" i="17" s="1"/>
  <c r="C605" i="17" s="1"/>
  <c r="C606" i="17" s="1"/>
  <c r="C607" i="17" s="1"/>
  <c r="C608" i="17" s="1"/>
  <c r="C609" i="17" s="1"/>
  <c r="C610" i="17" s="1"/>
  <c r="C611" i="17" s="1"/>
  <c r="C612" i="17" s="1"/>
  <c r="C613" i="17" s="1"/>
  <c r="C614" i="17" s="1"/>
  <c r="C615" i="17" s="1"/>
  <c r="C616" i="17" s="1"/>
  <c r="C617" i="17" s="1"/>
  <c r="C618" i="17" s="1"/>
  <c r="C619" i="17" s="1"/>
  <c r="C620" i="17" s="1"/>
  <c r="C621" i="17" s="1"/>
  <c r="C622" i="17" s="1"/>
  <c r="C623" i="17" s="1"/>
  <c r="C624" i="17" s="1"/>
  <c r="C625" i="17" s="1"/>
  <c r="C626" i="17" s="1"/>
  <c r="C627" i="17" s="1"/>
  <c r="C628" i="17" s="1"/>
  <c r="C629" i="17" s="1"/>
  <c r="C630" i="17" s="1"/>
  <c r="C631" i="17" s="1"/>
  <c r="C632" i="17" s="1"/>
  <c r="C633" i="17" s="1"/>
  <c r="C634" i="17" s="1"/>
  <c r="C635" i="17" s="1"/>
  <c r="C636" i="17" s="1"/>
  <c r="C637" i="17" s="1"/>
  <c r="C638" i="17" s="1"/>
  <c r="C639" i="17" s="1"/>
  <c r="C640" i="17" s="1"/>
  <c r="C641" i="17" s="1"/>
  <c r="C642" i="17" s="1"/>
  <c r="C643" i="17" s="1"/>
  <c r="C644" i="17" s="1"/>
  <c r="C645" i="17" s="1"/>
  <c r="C646" i="17" s="1"/>
  <c r="C647" i="17" s="1"/>
  <c r="C648" i="17" s="1"/>
  <c r="C649" i="17" s="1"/>
  <c r="C650" i="17" s="1"/>
  <c r="C651" i="17" s="1"/>
  <c r="C652" i="17" s="1"/>
  <c r="C653" i="17" s="1"/>
  <c r="C654" i="17" s="1"/>
  <c r="C655" i="17" s="1"/>
  <c r="C656" i="17" s="1"/>
  <c r="C657" i="17" s="1"/>
  <c r="C658" i="17" s="1"/>
  <c r="C659" i="17" s="1"/>
  <c r="C660" i="17" s="1"/>
  <c r="C661" i="17" s="1"/>
  <c r="C662" i="17" s="1"/>
  <c r="C663" i="17" s="1"/>
  <c r="C664" i="17" s="1"/>
  <c r="C665" i="17" s="1"/>
  <c r="C666" i="17" s="1"/>
  <c r="C667" i="17" s="1"/>
  <c r="C668" i="17" s="1"/>
  <c r="C669" i="17" s="1"/>
  <c r="C670" i="17" s="1"/>
  <c r="C671" i="17" s="1"/>
  <c r="C672" i="17" s="1"/>
  <c r="C673" i="17" s="1"/>
  <c r="C674" i="17" s="1"/>
  <c r="C675" i="17" s="1"/>
  <c r="C676" i="17" s="1"/>
  <c r="C677" i="17" s="1"/>
  <c r="C678" i="17" s="1"/>
  <c r="C679" i="17" s="1"/>
  <c r="C680" i="17" s="1"/>
  <c r="C681" i="17" s="1"/>
  <c r="C682" i="17" s="1"/>
  <c r="C683" i="17" s="1"/>
  <c r="C684" i="17" s="1"/>
  <c r="C685" i="17" s="1"/>
  <c r="C686" i="17" s="1"/>
  <c r="C687" i="17" s="1"/>
  <c r="C688" i="17" s="1"/>
  <c r="C689" i="17" s="1"/>
  <c r="C690" i="17" s="1"/>
  <c r="C691" i="17" s="1"/>
  <c r="C692" i="17" s="1"/>
  <c r="C693" i="17" s="1"/>
  <c r="C694" i="17" s="1"/>
  <c r="C695" i="17" s="1"/>
  <c r="C696" i="17" s="1"/>
  <c r="C697" i="17" s="1"/>
  <c r="C698" i="17" s="1"/>
  <c r="C699" i="17" s="1"/>
  <c r="C700" i="17" s="1"/>
  <c r="C701" i="17" s="1"/>
  <c r="C702" i="17" s="1"/>
  <c r="C703" i="17" s="1"/>
  <c r="C704" i="17" s="1"/>
  <c r="C705" i="17" s="1"/>
  <c r="C706" i="17" s="1"/>
  <c r="C707" i="17" s="1"/>
  <c r="C708" i="17" s="1"/>
  <c r="C709" i="17" s="1"/>
  <c r="C710" i="17" s="1"/>
  <c r="C711" i="17" s="1"/>
  <c r="C712" i="17" s="1"/>
  <c r="C713" i="17" s="1"/>
  <c r="C714" i="17" s="1"/>
  <c r="C715" i="17" s="1"/>
  <c r="C716" i="17" s="1"/>
  <c r="C717" i="17" s="1"/>
  <c r="C718" i="17" s="1"/>
  <c r="C719" i="17" s="1"/>
  <c r="C720" i="17" s="1"/>
  <c r="C721" i="17" s="1"/>
  <c r="C722" i="17" s="1"/>
  <c r="C723" i="17" s="1"/>
  <c r="C724" i="17" s="1"/>
  <c r="C725" i="17" s="1"/>
  <c r="C726" i="17" s="1"/>
  <c r="C727" i="17" s="1"/>
  <c r="C728" i="17" s="1"/>
  <c r="C729" i="17" s="1"/>
  <c r="C730" i="17" s="1"/>
  <c r="C731" i="17" s="1"/>
  <c r="C732" i="17" s="1"/>
  <c r="C733" i="17" s="1"/>
  <c r="C734" i="17" s="1"/>
  <c r="C735" i="17" s="1"/>
  <c r="C736" i="17" s="1"/>
  <c r="C737" i="17" s="1"/>
  <c r="C738" i="17" s="1"/>
  <c r="C739" i="17" s="1"/>
  <c r="C740" i="17" s="1"/>
  <c r="C741" i="17" s="1"/>
  <c r="C742" i="17" s="1"/>
  <c r="C743" i="17" s="1"/>
  <c r="C744" i="17" s="1"/>
  <c r="C745" i="17" s="1"/>
  <c r="C746" i="17" s="1"/>
  <c r="C747" i="17" s="1"/>
  <c r="C748" i="17" s="1"/>
  <c r="C749" i="17" s="1"/>
  <c r="C750" i="17" s="1"/>
  <c r="C751" i="17" s="1"/>
  <c r="C752" i="17" s="1"/>
  <c r="C753" i="17" s="1"/>
  <c r="C754" i="17" s="1"/>
  <c r="C755" i="17" s="1"/>
  <c r="C756" i="17" s="1"/>
  <c r="C757" i="17" s="1"/>
  <c r="C758" i="17" s="1"/>
  <c r="C759" i="17" s="1"/>
  <c r="C760" i="17" s="1"/>
  <c r="C761" i="17" s="1"/>
  <c r="C762" i="17" s="1"/>
  <c r="C763" i="17" s="1"/>
  <c r="C764" i="17" s="1"/>
  <c r="C765" i="17" s="1"/>
  <c r="C766" i="17" s="1"/>
  <c r="C767" i="17" s="1"/>
  <c r="C768" i="17" s="1"/>
  <c r="C769" i="17" s="1"/>
  <c r="C770" i="17" s="1"/>
  <c r="C771" i="17" s="1"/>
  <c r="C772" i="17" s="1"/>
  <c r="C773" i="17" s="1"/>
  <c r="C774" i="17" s="1"/>
  <c r="C775" i="17" s="1"/>
  <c r="C776" i="17" s="1"/>
  <c r="C777" i="17" s="1"/>
  <c r="C778" i="17" s="1"/>
  <c r="C779" i="17" s="1"/>
  <c r="C780" i="17" s="1"/>
  <c r="C781" i="17" s="1"/>
  <c r="C782" i="17" s="1"/>
  <c r="C783" i="17" s="1"/>
  <c r="C784" i="17" s="1"/>
  <c r="C785" i="17" s="1"/>
  <c r="C786" i="17" s="1"/>
  <c r="C787" i="17" s="1"/>
  <c r="C788" i="17" s="1"/>
  <c r="C789" i="17" s="1"/>
  <c r="C790" i="17" s="1"/>
  <c r="C791" i="17" s="1"/>
  <c r="C792" i="17" s="1"/>
  <c r="C793" i="17" s="1"/>
  <c r="C794" i="17" s="1"/>
  <c r="C795" i="17" s="1"/>
  <c r="C796" i="17" s="1"/>
  <c r="C797" i="17" s="1"/>
  <c r="C798" i="17" s="1"/>
  <c r="C799" i="17" s="1"/>
  <c r="C800" i="17" s="1"/>
  <c r="C801" i="17" s="1"/>
  <c r="C802" i="17" s="1"/>
  <c r="C803" i="17" s="1"/>
  <c r="C804" i="17" s="1"/>
  <c r="C805" i="17" s="1"/>
  <c r="C806" i="17" s="1"/>
  <c r="C807" i="17" s="1"/>
  <c r="C808" i="17" s="1"/>
  <c r="C809" i="17" s="1"/>
  <c r="C810" i="17" s="1"/>
  <c r="C811" i="17" s="1"/>
  <c r="C812" i="17" s="1"/>
  <c r="C813" i="17" s="1"/>
  <c r="C814" i="17" s="1"/>
  <c r="C815" i="17" s="1"/>
  <c r="C816" i="17" s="1"/>
  <c r="C817" i="17" s="1"/>
  <c r="C818" i="17" s="1"/>
  <c r="C819" i="17" s="1"/>
  <c r="C820" i="17" s="1"/>
  <c r="C821" i="17" s="1"/>
  <c r="C822" i="17" s="1"/>
  <c r="C823" i="17" s="1"/>
  <c r="C824" i="17" s="1"/>
  <c r="C825" i="17" s="1"/>
  <c r="C826" i="17" s="1"/>
  <c r="C827" i="17" s="1"/>
  <c r="C828" i="17" s="1"/>
  <c r="C829" i="17" s="1"/>
  <c r="C830" i="17" s="1"/>
  <c r="C831" i="17" s="1"/>
  <c r="C832" i="17" s="1"/>
  <c r="C833" i="17" s="1"/>
  <c r="C834" i="17" s="1"/>
  <c r="C835" i="17" s="1"/>
  <c r="C836" i="17" s="1"/>
  <c r="C837" i="17" s="1"/>
  <c r="C838" i="17" s="1"/>
  <c r="C839" i="17" s="1"/>
  <c r="C840" i="17" s="1"/>
  <c r="C841" i="17" s="1"/>
  <c r="C842" i="17" s="1"/>
  <c r="C843" i="17" s="1"/>
  <c r="C844" i="17" s="1"/>
  <c r="C845" i="17" s="1"/>
  <c r="C846" i="17" s="1"/>
  <c r="C847" i="17" s="1"/>
  <c r="C848" i="17" s="1"/>
  <c r="C849" i="17" s="1"/>
  <c r="C850" i="17" s="1"/>
  <c r="C851" i="17" s="1"/>
  <c r="C852" i="17" s="1"/>
  <c r="C853" i="17" s="1"/>
  <c r="C854" i="17" s="1"/>
  <c r="C855" i="17" s="1"/>
  <c r="C856" i="17" s="1"/>
  <c r="C857" i="17" s="1"/>
  <c r="C858" i="17" s="1"/>
  <c r="C859" i="17" s="1"/>
  <c r="C860" i="17" s="1"/>
  <c r="C861" i="17" s="1"/>
  <c r="C862" i="17" s="1"/>
  <c r="C863" i="17" s="1"/>
  <c r="C864" i="17" s="1"/>
  <c r="C865" i="17" s="1"/>
  <c r="C866" i="17" s="1"/>
  <c r="C867" i="17" s="1"/>
  <c r="C868" i="17" s="1"/>
  <c r="C869" i="17" s="1"/>
  <c r="C870" i="17" s="1"/>
  <c r="C871" i="17" s="1"/>
  <c r="C872" i="17" s="1"/>
  <c r="C873" i="17" s="1"/>
  <c r="C874" i="17" s="1"/>
  <c r="C875" i="17" s="1"/>
  <c r="C876" i="17" s="1"/>
  <c r="C877" i="17" s="1"/>
  <c r="C878" i="17" s="1"/>
  <c r="C879" i="17" s="1"/>
  <c r="C880" i="17" s="1"/>
  <c r="C881" i="17" s="1"/>
  <c r="C882" i="17" s="1"/>
  <c r="C883" i="17" s="1"/>
  <c r="C884" i="17" s="1"/>
  <c r="C885" i="17" s="1"/>
  <c r="C886" i="17" s="1"/>
  <c r="C887" i="17" s="1"/>
  <c r="C888" i="17" s="1"/>
  <c r="C889" i="17" s="1"/>
  <c r="C890" i="17" s="1"/>
  <c r="C891" i="17" s="1"/>
  <c r="C892" i="17" s="1"/>
  <c r="C893" i="17" s="1"/>
  <c r="C894" i="17" s="1"/>
  <c r="C895" i="17" s="1"/>
  <c r="C896" i="17" s="1"/>
  <c r="C897" i="17" s="1"/>
  <c r="C898" i="17" s="1"/>
  <c r="C899" i="17" s="1"/>
  <c r="C900" i="17" s="1"/>
  <c r="C901" i="17" s="1"/>
  <c r="C902" i="17" s="1"/>
  <c r="C903" i="17" s="1"/>
  <c r="C904" i="17" s="1"/>
  <c r="C905" i="17" s="1"/>
  <c r="C906" i="17" s="1"/>
  <c r="C907" i="17" s="1"/>
  <c r="C908" i="17" s="1"/>
  <c r="C909" i="17" s="1"/>
  <c r="C910" i="17" s="1"/>
  <c r="C911" i="17" s="1"/>
  <c r="C912" i="17" s="1"/>
  <c r="C913" i="17" s="1"/>
  <c r="C914" i="17" s="1"/>
  <c r="C915" i="17" s="1"/>
  <c r="C916" i="17" s="1"/>
  <c r="C917" i="17" s="1"/>
  <c r="C918" i="17" s="1"/>
  <c r="C919" i="17" s="1"/>
  <c r="C920" i="17" s="1"/>
  <c r="C921" i="17" s="1"/>
  <c r="C922" i="17" s="1"/>
  <c r="C923" i="17" s="1"/>
  <c r="C924" i="17" s="1"/>
  <c r="C925" i="17" s="1"/>
  <c r="C926" i="17" s="1"/>
  <c r="C927" i="17" s="1"/>
  <c r="C928" i="17" s="1"/>
  <c r="C929" i="17" s="1"/>
  <c r="C930" i="17" s="1"/>
  <c r="C931" i="17" s="1"/>
  <c r="C932" i="17" s="1"/>
  <c r="C933" i="17" s="1"/>
  <c r="C934" i="17" s="1"/>
  <c r="C935" i="17" s="1"/>
  <c r="C936" i="17" s="1"/>
  <c r="C937" i="17" s="1"/>
  <c r="C938" i="17" s="1"/>
  <c r="C939" i="17" s="1"/>
  <c r="C940" i="17" s="1"/>
  <c r="C941" i="17" s="1"/>
  <c r="C942" i="17" s="1"/>
  <c r="C943" i="17" s="1"/>
  <c r="C944" i="17" s="1"/>
  <c r="C945" i="17" s="1"/>
  <c r="C946" i="17" s="1"/>
  <c r="C947" i="17" s="1"/>
  <c r="C948" i="17" s="1"/>
  <c r="C949" i="17" s="1"/>
  <c r="C950" i="17" s="1"/>
  <c r="C951" i="17" s="1"/>
  <c r="C952" i="17" s="1"/>
  <c r="C953" i="17" s="1"/>
  <c r="C954" i="17" s="1"/>
  <c r="C955" i="17" s="1"/>
  <c r="C956" i="17" s="1"/>
  <c r="C957" i="17" s="1"/>
  <c r="C958" i="17" s="1"/>
  <c r="C959" i="17" s="1"/>
  <c r="C960" i="17" s="1"/>
  <c r="C961" i="17" s="1"/>
  <c r="C962" i="17" s="1"/>
  <c r="C963" i="17" s="1"/>
  <c r="C964" i="17" s="1"/>
  <c r="C965" i="17" s="1"/>
  <c r="C966" i="17" s="1"/>
  <c r="C967" i="17" s="1"/>
  <c r="C968" i="17" s="1"/>
  <c r="C969" i="17" s="1"/>
  <c r="C970" i="17" s="1"/>
  <c r="C971" i="17" s="1"/>
  <c r="C972" i="17" s="1"/>
  <c r="C973" i="17" s="1"/>
  <c r="C974" i="17" s="1"/>
  <c r="C975" i="17" s="1"/>
  <c r="C976" i="17" s="1"/>
  <c r="C977" i="17" s="1"/>
  <c r="C978" i="17" s="1"/>
  <c r="C979" i="17" s="1"/>
  <c r="C980" i="17" s="1"/>
  <c r="C981" i="17" s="1"/>
  <c r="C982" i="17" s="1"/>
  <c r="C983" i="17" s="1"/>
  <c r="C984" i="17" s="1"/>
  <c r="C985" i="17" s="1"/>
  <c r="C986" i="17" s="1"/>
  <c r="C987" i="17" s="1"/>
  <c r="C988" i="17" s="1"/>
  <c r="C989" i="17" s="1"/>
  <c r="C990" i="17" s="1"/>
  <c r="C991" i="17" s="1"/>
  <c r="C992" i="17" s="1"/>
  <c r="C993" i="17" s="1"/>
  <c r="C994" i="17" s="1"/>
  <c r="C995" i="17" s="1"/>
  <c r="C996" i="17" s="1"/>
  <c r="C997" i="17" s="1"/>
  <c r="C998" i="17" s="1"/>
  <c r="C999" i="17" s="1"/>
  <c r="C1000" i="17" s="1"/>
  <c r="C1001" i="17" s="1"/>
  <c r="C1002" i="17" s="1"/>
  <c r="C1003" i="17" s="1"/>
  <c r="C1004" i="17" s="1"/>
  <c r="C1005" i="17" s="1"/>
  <c r="C1006" i="17" s="1"/>
  <c r="C1007" i="17" s="1"/>
  <c r="C1008" i="17" s="1"/>
  <c r="C1009" i="17" s="1"/>
  <c r="C1010" i="17" s="1"/>
  <c r="C1011" i="17" s="1"/>
  <c r="C1012" i="17" s="1"/>
  <c r="C1013" i="17" s="1"/>
  <c r="C1014" i="17" s="1"/>
  <c r="C1015" i="17" s="1"/>
  <c r="C1016" i="17" s="1"/>
  <c r="C1017" i="17" s="1"/>
  <c r="C1018" i="17" s="1"/>
  <c r="C1019" i="17" s="1"/>
  <c r="C1020" i="17" s="1"/>
  <c r="C1021" i="17" s="1"/>
  <c r="C1022" i="17" s="1"/>
  <c r="C1023" i="17" s="1"/>
  <c r="C1024" i="17" s="1"/>
  <c r="C1025" i="17" s="1"/>
  <c r="C1026" i="17" s="1"/>
  <c r="C1027" i="17" s="1"/>
  <c r="C1028" i="17" s="1"/>
  <c r="C1029" i="17" s="1"/>
  <c r="C1030" i="17" s="1"/>
  <c r="C1031" i="17" s="1"/>
  <c r="C1032" i="17" s="1"/>
  <c r="C1033" i="17" s="1"/>
  <c r="C1034" i="17" s="1"/>
  <c r="C1035" i="17" s="1"/>
  <c r="C1036" i="17" s="1"/>
  <c r="C1037" i="17" s="1"/>
  <c r="C1038" i="17" s="1"/>
  <c r="C1039" i="17" s="1"/>
  <c r="C1040" i="17" s="1"/>
  <c r="C1041" i="17" s="1"/>
  <c r="C1042" i="17" s="1"/>
  <c r="C1043" i="17" s="1"/>
  <c r="C1044" i="17" s="1"/>
  <c r="C1045" i="17" s="1"/>
  <c r="C1046" i="17" s="1"/>
  <c r="C1047" i="17" s="1"/>
  <c r="C1048" i="17" s="1"/>
  <c r="C1049" i="17" s="1"/>
  <c r="C1050" i="17" s="1"/>
  <c r="C1051" i="17" s="1"/>
  <c r="C1052" i="17" s="1"/>
  <c r="C1053" i="17" s="1"/>
  <c r="C1054" i="17" s="1"/>
  <c r="C1055" i="17" s="1"/>
  <c r="C1056" i="17" s="1"/>
  <c r="C1057" i="17" s="1"/>
  <c r="C1058" i="17" s="1"/>
  <c r="C1059" i="17" s="1"/>
  <c r="C1060" i="17" s="1"/>
  <c r="C1061" i="17" s="1"/>
  <c r="C1062" i="17" s="1"/>
  <c r="C1063" i="17" s="1"/>
  <c r="C1064" i="17" s="1"/>
  <c r="C1065" i="17" s="1"/>
  <c r="C1066" i="17" s="1"/>
  <c r="C1067" i="17" s="1"/>
  <c r="C1068" i="17" s="1"/>
  <c r="C1069" i="17" s="1"/>
  <c r="C1070" i="17" s="1"/>
  <c r="C1071" i="17" s="1"/>
  <c r="C1072" i="17" s="1"/>
  <c r="C1073" i="17" s="1"/>
  <c r="C1074" i="17" s="1"/>
  <c r="C1075" i="17" s="1"/>
  <c r="C1076" i="17" s="1"/>
  <c r="C1077" i="17" s="1"/>
  <c r="C1078" i="17" s="1"/>
  <c r="C1079" i="17" s="1"/>
  <c r="C1080" i="17" s="1"/>
  <c r="C1081" i="17" s="1"/>
  <c r="C1082" i="17" s="1"/>
  <c r="C1083" i="17" s="1"/>
  <c r="C1084" i="17" s="1"/>
  <c r="C1085" i="17" s="1"/>
  <c r="C1086" i="17" s="1"/>
  <c r="C1087" i="17" s="1"/>
  <c r="C1088" i="17" s="1"/>
  <c r="C1089" i="17" s="1"/>
  <c r="C1090" i="17" s="1"/>
  <c r="C1091" i="17" s="1"/>
  <c r="C1092" i="17" s="1"/>
  <c r="C1093" i="17" s="1"/>
  <c r="C1094" i="17" s="1"/>
  <c r="C1095" i="17" s="1"/>
  <c r="C1096" i="17" s="1"/>
  <c r="C1097" i="17" s="1"/>
  <c r="C1098" i="17" s="1"/>
  <c r="C1099" i="17" s="1"/>
  <c r="C1100" i="17" s="1"/>
  <c r="C1101" i="17" s="1"/>
  <c r="C1102" i="17" s="1"/>
  <c r="C1103" i="17" s="1"/>
  <c r="C1104" i="17" s="1"/>
  <c r="C1105" i="17" s="1"/>
  <c r="C1106" i="17" s="1"/>
  <c r="C1107" i="17" s="1"/>
  <c r="C1108" i="17" s="1"/>
  <c r="C1109" i="17" s="1"/>
  <c r="C1110" i="17" s="1"/>
  <c r="C1111" i="17" s="1"/>
  <c r="C1112" i="17" s="1"/>
  <c r="C1113" i="17" s="1"/>
  <c r="C1114" i="17" s="1"/>
  <c r="C1115" i="17" s="1"/>
  <c r="C1116" i="17" s="1"/>
  <c r="C1117" i="17" s="1"/>
  <c r="C1118" i="17" s="1"/>
  <c r="C1119" i="17" s="1"/>
  <c r="C1120" i="17" s="1"/>
  <c r="C1121" i="17" s="1"/>
  <c r="C1122" i="17" s="1"/>
  <c r="C1123" i="17" s="1"/>
  <c r="C1124" i="17" s="1"/>
  <c r="C1125" i="17" s="1"/>
  <c r="C1126" i="17" s="1"/>
  <c r="C1127" i="17" s="1"/>
  <c r="C1128" i="17" s="1"/>
  <c r="C1129" i="17" s="1"/>
  <c r="C1130" i="17" s="1"/>
  <c r="C1131" i="17" s="1"/>
  <c r="C1132" i="17" s="1"/>
  <c r="C1133" i="17" s="1"/>
  <c r="C1134" i="17" s="1"/>
  <c r="C1135" i="17" s="1"/>
  <c r="C1136" i="17" s="1"/>
  <c r="C1137" i="17" s="1"/>
  <c r="C1138" i="17" s="1"/>
  <c r="C1139" i="17" s="1"/>
  <c r="C1140" i="17" s="1"/>
  <c r="C1141" i="17" s="1"/>
  <c r="C1142" i="17" s="1"/>
  <c r="C1143" i="17" s="1"/>
  <c r="C1144" i="17" s="1"/>
  <c r="C1145" i="17" s="1"/>
  <c r="C1146" i="17" s="1"/>
  <c r="C1147" i="17" s="1"/>
  <c r="C1148" i="17" s="1"/>
  <c r="C1149" i="17" s="1"/>
  <c r="C1150" i="17" s="1"/>
  <c r="C1151" i="17" s="1"/>
  <c r="C1152" i="17" s="1"/>
  <c r="C1153" i="17" s="1"/>
  <c r="C1154" i="17" s="1"/>
  <c r="C1155" i="17" s="1"/>
  <c r="C1156" i="17" s="1"/>
  <c r="C1157" i="17" s="1"/>
  <c r="C1158" i="17" s="1"/>
  <c r="C1159" i="17" s="1"/>
  <c r="C1160" i="17" s="1"/>
  <c r="C1161" i="17" s="1"/>
  <c r="C1162" i="17" s="1"/>
  <c r="C1163" i="17" s="1"/>
  <c r="C1164" i="17" s="1"/>
  <c r="C1165" i="17" s="1"/>
  <c r="C1166" i="17" s="1"/>
  <c r="C1167" i="17" s="1"/>
  <c r="C1168" i="17" s="1"/>
  <c r="C1169" i="17" s="1"/>
  <c r="C1170" i="17" s="1"/>
  <c r="C1171" i="17" s="1"/>
  <c r="C1172" i="17" s="1"/>
  <c r="C1173" i="17" s="1"/>
  <c r="C1174" i="17" s="1"/>
  <c r="C1175" i="17" s="1"/>
  <c r="C1176" i="17" s="1"/>
  <c r="C1177" i="17" s="1"/>
  <c r="C1178" i="17" s="1"/>
  <c r="C1179" i="17" s="1"/>
  <c r="C1180" i="17" s="1"/>
  <c r="C1181" i="17" s="1"/>
  <c r="C1182" i="17" s="1"/>
  <c r="C1183" i="17" s="1"/>
  <c r="C1184" i="17" s="1"/>
  <c r="C1185" i="17" s="1"/>
  <c r="C1186" i="17" s="1"/>
  <c r="C1187" i="17" s="1"/>
  <c r="C1188" i="17" s="1"/>
  <c r="C1189" i="17" s="1"/>
  <c r="C1190" i="17" s="1"/>
  <c r="C1191" i="17" s="1"/>
  <c r="C1192" i="17" s="1"/>
  <c r="C1193" i="17" s="1"/>
  <c r="C1194" i="17" s="1"/>
  <c r="C1195" i="17" s="1"/>
  <c r="C1196" i="17" s="1"/>
  <c r="C1197" i="17" s="1"/>
  <c r="C1198" i="17" s="1"/>
  <c r="C1199" i="17" s="1"/>
  <c r="C1200" i="17" s="1"/>
  <c r="C1201" i="17" s="1"/>
  <c r="C1202" i="17" s="1"/>
  <c r="C1203" i="17" s="1"/>
  <c r="C1204" i="17" s="1"/>
  <c r="C1205" i="17" s="1"/>
  <c r="C1206" i="17" s="1"/>
  <c r="C1207" i="17" s="1"/>
  <c r="C1208" i="17" s="1"/>
  <c r="C1209" i="17" s="1"/>
  <c r="C1210" i="17" s="1"/>
  <c r="C1211" i="17" s="1"/>
  <c r="C1212" i="17" s="1"/>
  <c r="C1213" i="17" s="1"/>
  <c r="C1214" i="17" s="1"/>
  <c r="C1215" i="17" s="1"/>
  <c r="C1216" i="17" s="1"/>
  <c r="C1217" i="17" s="1"/>
  <c r="C1218" i="17" s="1"/>
  <c r="C1219" i="17" s="1"/>
  <c r="C1220" i="17" s="1"/>
  <c r="C1221" i="17" s="1"/>
  <c r="C1222" i="17" s="1"/>
  <c r="C1223" i="17" s="1"/>
  <c r="C1224" i="17" s="1"/>
  <c r="C1225" i="17" s="1"/>
  <c r="C1226" i="17" s="1"/>
  <c r="C1227" i="17" s="1"/>
  <c r="C1228" i="17" s="1"/>
  <c r="C1229" i="17" s="1"/>
  <c r="C1230" i="17" s="1"/>
  <c r="C1231" i="17" s="1"/>
  <c r="C1232" i="17" s="1"/>
  <c r="C1233" i="17" s="1"/>
  <c r="C1234" i="17" s="1"/>
  <c r="C1235" i="17" s="1"/>
  <c r="C1236" i="17" s="1"/>
  <c r="C1237" i="17" s="1"/>
  <c r="C1238" i="17" s="1"/>
  <c r="C1239" i="17" s="1"/>
  <c r="C1240" i="17" s="1"/>
  <c r="C1241" i="17" s="1"/>
  <c r="C1242" i="17" s="1"/>
  <c r="C1243" i="17" s="1"/>
  <c r="C1244" i="17" s="1"/>
  <c r="C1245" i="17" s="1"/>
  <c r="C1246" i="17" s="1"/>
  <c r="C1247" i="17" s="1"/>
  <c r="C1248" i="17" s="1"/>
  <c r="C1249" i="17" s="1"/>
  <c r="C1250" i="17" s="1"/>
  <c r="C1251" i="17" s="1"/>
  <c r="C1252" i="17" s="1"/>
  <c r="C1253" i="17" s="1"/>
  <c r="C1254" i="17" s="1"/>
  <c r="C1255" i="17" s="1"/>
  <c r="C1256" i="17" s="1"/>
  <c r="C1257" i="17" s="1"/>
  <c r="C1258" i="17" s="1"/>
  <c r="C1259" i="17" s="1"/>
  <c r="C1260" i="17" s="1"/>
  <c r="C1261" i="17" s="1"/>
  <c r="C1262" i="17" s="1"/>
  <c r="C1263" i="17" s="1"/>
  <c r="C1264" i="17" s="1"/>
  <c r="C1265" i="17" s="1"/>
  <c r="C1266" i="17" s="1"/>
  <c r="C1267" i="17" s="1"/>
  <c r="C1268" i="17" s="1"/>
  <c r="C1269" i="17" s="1"/>
  <c r="C1270" i="17" s="1"/>
  <c r="C1271" i="17" s="1"/>
  <c r="C1272" i="17" s="1"/>
  <c r="C1273" i="17" s="1"/>
  <c r="C1274" i="17" s="1"/>
  <c r="C1275" i="17" s="1"/>
  <c r="C1276" i="17" s="1"/>
  <c r="C1277" i="17" s="1"/>
  <c r="C1278" i="17" s="1"/>
  <c r="C1279" i="17" s="1"/>
  <c r="C1280" i="17" s="1"/>
  <c r="C1281" i="17" s="1"/>
  <c r="C1282" i="17" s="1"/>
  <c r="C1283" i="17" s="1"/>
  <c r="C1284" i="17" s="1"/>
  <c r="C1285" i="17" s="1"/>
  <c r="C1286" i="17" s="1"/>
  <c r="C1287" i="17" s="1"/>
  <c r="C1288" i="17" s="1"/>
  <c r="C1289" i="17" s="1"/>
  <c r="C1290" i="17" s="1"/>
  <c r="C1291" i="17" s="1"/>
  <c r="C1292" i="17" s="1"/>
  <c r="C1293" i="17" s="1"/>
  <c r="C1294" i="17" s="1"/>
  <c r="C1295" i="17" s="1"/>
  <c r="C1296" i="17" s="1"/>
  <c r="C1297" i="17" s="1"/>
  <c r="C1298" i="17" s="1"/>
  <c r="C1299" i="17" s="1"/>
  <c r="C1300" i="17" s="1"/>
  <c r="C1301" i="17" s="1"/>
  <c r="C1302" i="17" s="1"/>
  <c r="C1303" i="17" s="1"/>
  <c r="C1304" i="17" s="1"/>
  <c r="C1305" i="17" s="1"/>
  <c r="C1306" i="17" s="1"/>
  <c r="C1307" i="17" s="1"/>
  <c r="C1308" i="17" s="1"/>
  <c r="C1309" i="17" s="1"/>
  <c r="C1310" i="17" s="1"/>
  <c r="C1311" i="17" s="1"/>
  <c r="C1312" i="17" s="1"/>
  <c r="C1313" i="17" s="1"/>
  <c r="C1314" i="17" s="1"/>
  <c r="C1315" i="17" s="1"/>
  <c r="C1316" i="17" s="1"/>
  <c r="C1317" i="17" s="1"/>
  <c r="C1318" i="17" s="1"/>
  <c r="C1319" i="17" s="1"/>
  <c r="C1320" i="17" s="1"/>
  <c r="C1321" i="17" s="1"/>
  <c r="C1322" i="17" s="1"/>
  <c r="C1323" i="17" s="1"/>
  <c r="C1324" i="17" s="1"/>
  <c r="C1325" i="17" s="1"/>
  <c r="C1326" i="17" s="1"/>
  <c r="C1327" i="17" s="1"/>
  <c r="C1328" i="17" s="1"/>
  <c r="C1329" i="17" s="1"/>
  <c r="C1330" i="17" s="1"/>
  <c r="C1331" i="17" s="1"/>
  <c r="C1332" i="17" s="1"/>
  <c r="C1333" i="17" s="1"/>
  <c r="C1334" i="17" s="1"/>
  <c r="C1335" i="17" s="1"/>
  <c r="C1336" i="17" s="1"/>
  <c r="C1337" i="17" s="1"/>
  <c r="C1338" i="17" s="1"/>
  <c r="C1339" i="17" s="1"/>
  <c r="C1340" i="17" s="1"/>
  <c r="C1341" i="17" s="1"/>
  <c r="C1342" i="17" s="1"/>
  <c r="C1343" i="17" s="1"/>
  <c r="C1344" i="17" s="1"/>
  <c r="C1345" i="17" s="1"/>
  <c r="C1346" i="17" s="1"/>
  <c r="C1347" i="17" s="1"/>
  <c r="C1348" i="17" s="1"/>
  <c r="C1349" i="17" s="1"/>
  <c r="C1350" i="17" s="1"/>
  <c r="C1351" i="17" s="1"/>
  <c r="C1352" i="17" s="1"/>
  <c r="C1353" i="17" s="1"/>
  <c r="C1354" i="17" s="1"/>
  <c r="C1355" i="17" s="1"/>
  <c r="C1356" i="17" s="1"/>
  <c r="C1357" i="17" s="1"/>
  <c r="C1358" i="17" s="1"/>
  <c r="C1359" i="17" s="1"/>
  <c r="C1360" i="17" s="1"/>
  <c r="C1361" i="17" s="1"/>
  <c r="C1362" i="17" s="1"/>
  <c r="C1363" i="17" s="1"/>
  <c r="C1364" i="17" s="1"/>
  <c r="C1365" i="17" s="1"/>
  <c r="C1366" i="17" s="1"/>
  <c r="C1367" i="17" s="1"/>
  <c r="C1368" i="17" s="1"/>
  <c r="C1369" i="17" s="1"/>
  <c r="C1370" i="17" s="1"/>
  <c r="D21" i="24" l="1"/>
  <c r="O2784" i="11" l="1"/>
  <c r="D32" i="24" l="1"/>
  <c r="N18" i="28" s="1"/>
  <c r="V19" i="28" s="1"/>
  <c r="V22" i="26"/>
  <c r="H2784" i="11" l="1"/>
  <c r="I1364" i="17" l="1"/>
  <c r="C16" i="20" l="1"/>
  <c r="B16" i="20"/>
  <c r="B15" i="20" l="1"/>
  <c r="C15" i="20"/>
  <c r="D4" i="20" s="1"/>
  <c r="D338" i="18"/>
  <c r="H2785" i="11" l="1"/>
  <c r="O2785" i="11" s="1"/>
  <c r="O2786" i="11" s="1"/>
  <c r="H2786" i="11" l="1"/>
  <c r="E7" i="24" l="1"/>
  <c r="E8" i="24"/>
  <c r="E2" i="24" l="1"/>
  <c r="C22" i="26" l="1"/>
  <c r="U22" i="26"/>
  <c r="V23" i="26" s="1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B22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D4" i="26"/>
  <c r="E4" i="26" s="1"/>
  <c r="F4" i="26" s="1"/>
  <c r="G4" i="26" s="1"/>
  <c r="H4" i="26" s="1"/>
  <c r="I4" i="26" s="1"/>
  <c r="J4" i="26" s="1"/>
  <c r="K4" i="26" s="1"/>
  <c r="L4" i="26" s="1"/>
  <c r="M4" i="26" s="1"/>
  <c r="N4" i="26" s="1"/>
  <c r="O4" i="26" s="1"/>
  <c r="P4" i="26" s="1"/>
  <c r="Q4" i="26" s="1"/>
  <c r="R4" i="26" s="1"/>
  <c r="S4" i="26" s="1"/>
  <c r="T4" i="26" s="1"/>
  <c r="U4" i="26" s="1"/>
  <c r="V4" i="26" s="1"/>
  <c r="C4" i="26"/>
  <c r="B36" i="26"/>
  <c r="D23" i="26" l="1"/>
  <c r="C23" i="26"/>
  <c r="C25" i="26"/>
  <c r="C30" i="26" s="1"/>
  <c r="U23" i="26"/>
  <c r="R23" i="26"/>
  <c r="P23" i="26"/>
  <c r="N24" i="26"/>
  <c r="M24" i="26"/>
  <c r="H23" i="26"/>
  <c r="F24" i="26"/>
  <c r="V24" i="26"/>
  <c r="I24" i="26"/>
  <c r="Q24" i="26"/>
  <c r="J23" i="26"/>
  <c r="S24" i="26"/>
  <c r="D24" i="26"/>
  <c r="L24" i="26"/>
  <c r="T24" i="26"/>
  <c r="C24" i="26"/>
  <c r="E23" i="26"/>
  <c r="K24" i="26"/>
  <c r="G23" i="26"/>
  <c r="O23" i="26"/>
  <c r="I23" i="26"/>
  <c r="Q23" i="26"/>
  <c r="S23" i="26"/>
  <c r="G24" i="26"/>
  <c r="O24" i="26"/>
  <c r="L23" i="26"/>
  <c r="T23" i="26"/>
  <c r="H24" i="26"/>
  <c r="P24" i="26"/>
  <c r="E24" i="26"/>
  <c r="U24" i="26"/>
  <c r="K23" i="26"/>
  <c r="M23" i="26"/>
  <c r="F23" i="26"/>
  <c r="N23" i="26"/>
  <c r="J24" i="26"/>
  <c r="R24" i="26"/>
  <c r="C28" i="26" l="1"/>
  <c r="B35" i="26" s="1"/>
  <c r="B37" i="26" s="1"/>
  <c r="D25" i="26"/>
  <c r="C29" i="26"/>
  <c r="D29" i="24" l="1"/>
  <c r="E29" i="28" s="1"/>
  <c r="J16" i="28" s="1"/>
  <c r="D36" i="24" l="1"/>
  <c r="L29" i="28" s="1"/>
  <c r="J19" i="28" s="1"/>
  <c r="I1350" i="17" l="1"/>
  <c r="E1358" i="17" s="1"/>
  <c r="G1350" i="17" l="1"/>
  <c r="G1354" i="17"/>
  <c r="L1355" i="17"/>
  <c r="G1352" i="17"/>
  <c r="B4" i="21"/>
  <c r="C4" i="21" s="1"/>
  <c r="E1364" i="17" l="1"/>
  <c r="C2786" i="11" s="1"/>
  <c r="D18" i="24"/>
  <c r="D15" i="20"/>
  <c r="I1358" i="17"/>
  <c r="D37" i="24"/>
  <c r="L28" i="28" s="1"/>
  <c r="J21" i="28" s="1"/>
  <c r="D31" i="24"/>
  <c r="E27" i="28" s="1"/>
  <c r="D30" i="24"/>
  <c r="E28" i="28" s="1"/>
  <c r="J17" i="28" s="1"/>
  <c r="K16" i="28" l="1"/>
  <c r="N16" i="28" s="1"/>
  <c r="V16" i="28" s="1"/>
  <c r="K17" i="28"/>
  <c r="N17" i="28" s="1"/>
  <c r="V17" i="28" s="1"/>
  <c r="D38" i="24"/>
  <c r="L27" i="28" s="1"/>
  <c r="I1365" i="17"/>
  <c r="I1366" i="17" s="1"/>
  <c r="D19" i="24"/>
  <c r="I1359" i="17"/>
  <c r="I1360" i="17" s="1"/>
  <c r="D16" i="20"/>
  <c r="D17" i="20" s="1"/>
  <c r="B9" i="21"/>
  <c r="B5" i="21"/>
  <c r="B6" i="21"/>
  <c r="B7" i="21"/>
  <c r="B8" i="21"/>
  <c r="B10" i="21"/>
  <c r="B11" i="21"/>
  <c r="V18" i="28" l="1"/>
  <c r="V20" i="28" s="1"/>
  <c r="V21" i="28" s="1"/>
  <c r="Y28" i="28" s="1"/>
  <c r="AB28" i="28" s="1"/>
  <c r="K21" i="28"/>
  <c r="N21" i="28" s="1"/>
  <c r="H34" i="28" s="1"/>
  <c r="L34" i="28" s="1"/>
  <c r="K19" i="28"/>
  <c r="N19" i="28" s="1"/>
  <c r="N20" i="28" s="1"/>
  <c r="H4" i="21"/>
  <c r="J4" i="21" s="1"/>
  <c r="K4" i="21" s="1"/>
  <c r="I11" i="21"/>
  <c r="C11" i="21"/>
  <c r="H11" i="21" s="1"/>
  <c r="J11" i="21" s="1"/>
  <c r="K11" i="21" s="1"/>
  <c r="L11" i="21" s="1"/>
  <c r="I10" i="21"/>
  <c r="C10" i="21"/>
  <c r="H10" i="21" s="1"/>
  <c r="J10" i="21" s="1"/>
  <c r="K10" i="21" s="1"/>
  <c r="I9" i="21"/>
  <c r="C9" i="21"/>
  <c r="H9" i="21" s="1"/>
  <c r="J9" i="21" s="1"/>
  <c r="K9" i="21" s="1"/>
  <c r="I8" i="21"/>
  <c r="C8" i="21"/>
  <c r="H8" i="21" s="1"/>
  <c r="J8" i="21" s="1"/>
  <c r="K8" i="21" s="1"/>
  <c r="I7" i="21"/>
  <c r="C7" i="21"/>
  <c r="H7" i="21" s="1"/>
  <c r="J7" i="21" s="1"/>
  <c r="K7" i="21" s="1"/>
  <c r="L7" i="21" s="1"/>
  <c r="I6" i="21"/>
  <c r="C6" i="21"/>
  <c r="H6" i="21" s="1"/>
  <c r="J6" i="21" s="1"/>
  <c r="K6" i="21" s="1"/>
  <c r="L6" i="21" s="1"/>
  <c r="I5" i="21"/>
  <c r="C5" i="21"/>
  <c r="H5" i="21" s="1"/>
  <c r="J5" i="21" s="1"/>
  <c r="K5" i="21" s="1"/>
  <c r="L5" i="21" s="1"/>
  <c r="I4" i="21"/>
  <c r="Y27" i="28" l="1"/>
  <c r="H33" i="28"/>
  <c r="V34" i="28"/>
  <c r="Y34" i="28"/>
  <c r="AB34" i="28" s="1"/>
  <c r="P34" i="28"/>
  <c r="S34" i="28"/>
  <c r="L9" i="21"/>
  <c r="M9" i="21" s="1"/>
  <c r="L10" i="21"/>
  <c r="M10" i="21" s="1"/>
  <c r="L8" i="21"/>
  <c r="M8" i="21" s="1"/>
  <c r="L4" i="21"/>
  <c r="D19" i="20" s="1"/>
  <c r="D20" i="20" s="1"/>
  <c r="D20" i="24"/>
  <c r="M5" i="21"/>
  <c r="M6" i="21"/>
  <c r="M7" i="21"/>
  <c r="M11" i="21"/>
  <c r="D22" i="20" l="1"/>
  <c r="D23" i="20" s="1"/>
  <c r="D24" i="20" s="1"/>
  <c r="D25" i="20" s="1"/>
  <c r="AB27" i="28"/>
  <c r="AB29" i="28" s="1"/>
  <c r="H35" i="28" s="1"/>
  <c r="V33" i="28"/>
  <c r="L33" i="28"/>
  <c r="S33" i="28"/>
  <c r="P33" i="28"/>
  <c r="Y33" i="28"/>
  <c r="AB33" i="28" s="1"/>
  <c r="M4" i="21"/>
  <c r="P35" i="28" l="1"/>
  <c r="S35" i="28"/>
  <c r="V35" i="28"/>
  <c r="L35" i="28"/>
  <c r="Y35" i="28"/>
  <c r="AB35" i="28" s="1"/>
  <c r="F1370" i="17"/>
  <c r="E1370" i="17" s="1"/>
  <c r="F1358" i="17" l="1"/>
  <c r="B29" i="24"/>
  <c r="B30" i="24" l="1"/>
  <c r="B31" i="24" s="1"/>
  <c r="E25" i="28"/>
  <c r="C29" i="24"/>
  <c r="C18" i="24"/>
  <c r="C19" i="24" s="1"/>
  <c r="F1364" i="17"/>
  <c r="D2786" i="11" s="1"/>
  <c r="C30" i="24" l="1"/>
  <c r="C31" i="24" s="1"/>
  <c r="G25" i="28"/>
  <c r="D5" i="20"/>
  <c r="D5" i="24" s="1"/>
  <c r="D4" i="24"/>
  <c r="B36" i="24"/>
  <c r="L25" i="28" s="1"/>
  <c r="C36" i="24"/>
  <c r="N25" i="28" s="1"/>
  <c r="B18" i="24"/>
  <c r="B19" i="24" s="1"/>
  <c r="C38" i="24" l="1"/>
  <c r="C37" i="24"/>
  <c r="B38" i="24"/>
  <c r="B37" i="24"/>
  <c r="I1370" i="17" l="1"/>
  <c r="I1371" i="17" l="1"/>
  <c r="I1372" i="17" s="1"/>
</calcChain>
</file>

<file path=xl/sharedStrings.xml><?xml version="1.0" encoding="utf-8"?>
<sst xmlns="http://schemas.openxmlformats.org/spreadsheetml/2006/main" count="281" uniqueCount="198">
  <si>
    <t>Banco de México</t>
  </si>
  <si>
    <t>Subastas y colocación de valores</t>
  </si>
  <si>
    <t>Valores Gubernamentales</t>
  </si>
  <si>
    <t>Título</t>
  </si>
  <si>
    <t>Valores gubernamentales Resultados de la subasta semanal, Tasa de rendimiento Cetes a 28 días</t>
  </si>
  <si>
    <t>Periodo disponible</t>
  </si>
  <si>
    <t>Periodicidad</t>
  </si>
  <si>
    <t>Diaria</t>
  </si>
  <si>
    <t>Cifra</t>
  </si>
  <si>
    <t>Porcentajes</t>
  </si>
  <si>
    <t>Unidad</t>
  </si>
  <si>
    <t>Sin Unidad</t>
  </si>
  <si>
    <t>Base</t>
  </si>
  <si>
    <t>Aviso</t>
  </si>
  <si>
    <t>Tipo de información</t>
  </si>
  <si>
    <t>Niveles</t>
  </si>
  <si>
    <t>Fecha</t>
  </si>
  <si>
    <t>SF43936</t>
  </si>
  <si>
    <t>PROMEDIO 12 meses</t>
  </si>
  <si>
    <t>Cálculo de tasa Real</t>
  </si>
  <si>
    <t>CETES</t>
  </si>
  <si>
    <t>INFLACIÓN</t>
  </si>
  <si>
    <t>TASA REAL</t>
  </si>
  <si>
    <t>Mensual</t>
  </si>
  <si>
    <t>Índices</t>
  </si>
  <si>
    <t>Tasas y precios de referencia</t>
  </si>
  <si>
    <t>TIIE a 28 días, Tasa de interés en por ciento anual</t>
  </si>
  <si>
    <t>SF43783</t>
  </si>
  <si>
    <t>TIIE ultimo año</t>
  </si>
  <si>
    <t>https://mx.investing.com/indices/ipc-historical-data</t>
  </si>
  <si>
    <t>https://www.inegi.org.mx/app/tabulados/default.aspx?nc=ca55_2018</t>
  </si>
  <si>
    <t>http://www.banxico.org.mx/SieInternet/consultarDirectorioInternetAction.do?accion=consultarCuadro&amp;idCuadro=CP154&amp;locale=es</t>
  </si>
  <si>
    <t>https://www.banxico.org.mx/SieInternet/consultarDirectorioInternetAction.do?sector=18&amp;accion=consultarCuadro&amp;idCuadro=CF101&amp;locale=es</t>
  </si>
  <si>
    <t>Indice de Precios y Cotizaciones S&amp;P/BMV IPC (MXX)</t>
  </si>
  <si>
    <t>Matriz de precios</t>
  </si>
  <si>
    <t>Períodos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</si>
  <si>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</si>
  <si>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</si>
  <si>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</si>
  <si>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</si>
  <si>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</si>
  <si>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</si>
  <si>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</si>
  <si>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</si>
  <si>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</si>
  <si>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</si>
  <si>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</si>
  <si>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</si>
  <si>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Fuente:</t>
  </si>
  <si>
    <t>Matriz de rentabilidades</t>
  </si>
  <si>
    <t>Mes en curso</t>
  </si>
  <si>
    <t>Promedio</t>
  </si>
  <si>
    <t>LN</t>
  </si>
  <si>
    <t>Geométrico</t>
  </si>
  <si>
    <t>Consolidación de Resultados</t>
  </si>
  <si>
    <t>Promedio aritmétrico</t>
  </si>
  <si>
    <t>Promedio LN</t>
  </si>
  <si>
    <t>Promedio Geométrico</t>
  </si>
  <si>
    <t>PROMEDIO 20 años (240 meses)</t>
  </si>
  <si>
    <t>IPCy C</t>
  </si>
  <si>
    <t>https://www.banxico.org.mx/SieInternet/consultarDirectorioInternetAction.do?sector=22&amp;accion=consultarCuadro&amp;idCuadro=CF107&amp;locale=es</t>
  </si>
  <si>
    <t>MENOS 60 MESES</t>
  </si>
  <si>
    <t>Tasa de Capitalización</t>
  </si>
  <si>
    <t>Concepto</t>
  </si>
  <si>
    <t>%</t>
  </si>
  <si>
    <t>Cetes</t>
  </si>
  <si>
    <t>Tasa de descuento</t>
  </si>
  <si>
    <t>Inflación</t>
  </si>
  <si>
    <t>Logaritmo (1+i)</t>
  </si>
  <si>
    <t>Tasa Real</t>
  </si>
  <si>
    <t>Tasa Amortización</t>
  </si>
  <si>
    <t>Vida Util Económica (VUE)</t>
  </si>
  <si>
    <t>Edad Cronológica</t>
  </si>
  <si>
    <t>TIPO DE BIEN</t>
  </si>
  <si>
    <t>EDAD</t>
  </si>
  <si>
    <t>EDAD CRONOLÓGICA MÁXIMA APLICACABLE</t>
  </si>
  <si>
    <t>P
VRN</t>
  </si>
  <si>
    <t>% Curable</t>
  </si>
  <si>
    <t>%No Curable</t>
  </si>
  <si>
    <t>VUT</t>
  </si>
  <si>
    <t>VUR Curable</t>
  </si>
  <si>
    <t>VU No Curable</t>
  </si>
  <si>
    <t>Δm
$ M y O</t>
  </si>
  <si>
    <t>VU Curable
⅟  VUE = (P2/ Δm) ⁰∙⁵</t>
  </si>
  <si>
    <t>VUE</t>
  </si>
  <si>
    <t>TASA DE AMORTIZACION</t>
  </si>
  <si>
    <t>Nave Industrial/ Bodegas</t>
  </si>
  <si>
    <t>Locales Comerciales y Oficinas</t>
  </si>
  <si>
    <t>Centros y Plazas Comerciales</t>
  </si>
  <si>
    <t>Viviendas</t>
  </si>
  <si>
    <t>Motel/Hotel 3 estrellas</t>
  </si>
  <si>
    <t>Hotel 4 estrellas</t>
  </si>
  <si>
    <t>Hotel 5 estrellas</t>
  </si>
  <si>
    <t>Hotel Gran Turismo / Diamante</t>
  </si>
  <si>
    <t>Tasa de amortización</t>
  </si>
  <si>
    <t>Tipo de Bien</t>
  </si>
  <si>
    <t>Día promedio</t>
  </si>
  <si>
    <t>PROMEDIO GEOMÉTRICO 5 años</t>
  </si>
  <si>
    <t>PROMEDIO GEOMÉTRICO 12 meses</t>
  </si>
  <si>
    <t>PROMEDIO GEOMÉTRICO 20 años (240 meses)</t>
  </si>
  <si>
    <t>Fecha de publicación modelo:</t>
  </si>
  <si>
    <t>Cetes:</t>
  </si>
  <si>
    <t>INPC:</t>
  </si>
  <si>
    <t>SELECCIONAR TIPO DE BIEN</t>
  </si>
  <si>
    <t>INDICAR LA EDAD CRONOLÓGICA DEL AVALÚO</t>
  </si>
  <si>
    <t>Tiempo de Recuperación de la Inversión</t>
  </si>
  <si>
    <t>MENOS 12 MESES</t>
  </si>
  <si>
    <t>PROMEDIO 5 años (60 meses)</t>
  </si>
  <si>
    <t>MENOS 240 MESES (20 años)</t>
  </si>
  <si>
    <t>IPyC - Tasa de mercado (prom. 20 años)</t>
  </si>
  <si>
    <t>CETES 28 - Tasa libre de riesgo (prom. 20 años)</t>
  </si>
  <si>
    <t>CETES 28 - Tasa Pasiva real (Promedio 12 meses)</t>
  </si>
  <si>
    <t>Margen Financiero de crédito puente</t>
  </si>
  <si>
    <t>Indicadores para Tasa de Capitalización</t>
  </si>
  <si>
    <t>Indicadores para Resiudal Dinámico</t>
  </si>
  <si>
    <t>Se muestra cálculo de tasa únicamente para fines de consulta y poder cotejar con el avalúo.</t>
  </si>
  <si>
    <t>Matriz de Vida Util Económica</t>
  </si>
  <si>
    <t>Inflación (20 años)</t>
  </si>
  <si>
    <t>Inflación 12 meses</t>
  </si>
  <si>
    <t>Tasa Interés Interbancaria de Equilibrio (TIIE 28 días)</t>
  </si>
  <si>
    <t>Fecha inicial</t>
  </si>
  <si>
    <t>Fecha final</t>
  </si>
  <si>
    <t>Tasa Fiscal del Impuesto sobre la renta (ISR)</t>
  </si>
  <si>
    <t>Tasas a 5 años (60 meses)</t>
  </si>
  <si>
    <t>Tasas a 20 años (240 meses)</t>
  </si>
  <si>
    <t>Tasas a 1 año (12 meses)</t>
  </si>
  <si>
    <t>TIIE 28</t>
  </si>
  <si>
    <t>Riesgo del sector</t>
  </si>
  <si>
    <t>https://www.banxico.org.mx/SieInternet/consultarDirectorioInternetAction.do?accion=consultarCuadro&amp;idCuadro=CF57&amp;sector=7&amp;locale=es</t>
  </si>
  <si>
    <t>Tasas de Interés en el Mercado de Dinero</t>
  </si>
  <si>
    <t>Beta - Factor de riesgo del sector</t>
  </si>
  <si>
    <t>Datos para análisis</t>
  </si>
  <si>
    <t>Sigla</t>
  </si>
  <si>
    <t>Nominal</t>
  </si>
  <si>
    <t>Descripción</t>
  </si>
  <si>
    <t>Tasa</t>
  </si>
  <si>
    <r>
      <t>R</t>
    </r>
    <r>
      <rPr>
        <vertAlign val="subscript"/>
        <sz val="8"/>
        <rFont val="Arial"/>
        <family val="2"/>
      </rPr>
      <t>m</t>
    </r>
  </si>
  <si>
    <t>Rm</t>
  </si>
  <si>
    <t>IPC 20 años</t>
  </si>
  <si>
    <r>
      <t>R</t>
    </r>
    <r>
      <rPr>
        <vertAlign val="subscript"/>
        <sz val="8"/>
        <rFont val="Arial"/>
        <family val="2"/>
      </rPr>
      <t>f</t>
    </r>
  </si>
  <si>
    <t>Rf</t>
  </si>
  <si>
    <t>CETES 20 años</t>
  </si>
  <si>
    <t>β</t>
  </si>
  <si>
    <t>NA</t>
  </si>
  <si>
    <t>Rm - Rf</t>
  </si>
  <si>
    <t>Premio de mercado</t>
  </si>
  <si>
    <t>Tasa Interés Interbancaria de Equilibrio (28 días)</t>
  </si>
  <si>
    <t>TIIE</t>
  </si>
  <si>
    <t>Beta</t>
  </si>
  <si>
    <t>TIIE + MF - Tasa activa real (Costo Financiero)</t>
  </si>
  <si>
    <r>
      <t>K</t>
    </r>
    <r>
      <rPr>
        <vertAlign val="subscript"/>
        <sz val="8"/>
        <rFont val="Arial"/>
        <family val="2"/>
      </rPr>
      <t>d</t>
    </r>
  </si>
  <si>
    <t>(Rm-Rf) β</t>
  </si>
  <si>
    <t>Premio mercado c/riesgo</t>
  </si>
  <si>
    <t>Tasa de Capital = ((Rm-Rf) * β + Rf))</t>
  </si>
  <si>
    <t>MF</t>
  </si>
  <si>
    <t>t</t>
  </si>
  <si>
    <t>240 meses (20 años)</t>
  </si>
  <si>
    <t>12 meses (1 año)</t>
  </si>
  <si>
    <t>Banda de Inversión</t>
  </si>
  <si>
    <t>Capital</t>
  </si>
  <si>
    <t>Participación</t>
  </si>
  <si>
    <t>Beneficio Fiscal</t>
  </si>
  <si>
    <t>Tasa Base</t>
  </si>
  <si>
    <t>Prestado</t>
  </si>
  <si>
    <t>Cetes 28</t>
  </si>
  <si>
    <t>Propio</t>
  </si>
  <si>
    <t>N/A</t>
  </si>
  <si>
    <t>IPyC</t>
  </si>
  <si>
    <t xml:space="preserve">Tasa de descuento anual aplicable en el flujo : </t>
  </si>
  <si>
    <t>Consolidación de tasas financieras aplicables por períodos</t>
  </si>
  <si>
    <t>Períodos del proyecto</t>
  </si>
  <si>
    <t>APLICABLE</t>
  </si>
  <si>
    <t>Anuales</t>
  </si>
  <si>
    <t>Semestres</t>
  </si>
  <si>
    <t>Cuatrimestres</t>
  </si>
  <si>
    <t>Trimestres</t>
  </si>
  <si>
    <t>Bimestres</t>
  </si>
  <si>
    <t>Tasa activa real (TIIE + MF) Costo Financiero</t>
  </si>
  <si>
    <t>Tasa pasiva real (CETES 28) Prod. Fianciero</t>
  </si>
  <si>
    <t>Meses por periodo</t>
  </si>
  <si>
    <t>CAPM - WACC</t>
  </si>
  <si>
    <t>Tasa de Capital (CAPM)</t>
  </si>
  <si>
    <t>Tasa de descuento (WACC)</t>
  </si>
  <si>
    <t>Índices de Precios al Consumidor y UDIS</t>
  </si>
  <si>
    <t>Principales índices mensuales</t>
  </si>
  <si>
    <t>https://www.banxico.org.mx/SieInternet/consultarDirectorioInternetAction.do?accion=consultarCuadro&amp;idCuadro=CP154&amp;locale=es</t>
  </si>
  <si>
    <t>Aviso importante: Algunas de las series que está consultando registra un cambio, por favor consulte los metadatos de las mismas.</t>
  </si>
  <si>
    <t>IPC Por objeto del gasto Nacional, I n d i c e G e n e r a l</t>
  </si>
  <si>
    <t>Indices</t>
  </si>
  <si>
    <t>2Q Jul 2018</t>
  </si>
  <si>
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</si>
  <si>
    <t>SP1</t>
  </si>
  <si>
    <t>Fecha de consulta: 20/01/2025 01:27:07</t>
  </si>
  <si>
    <t>02/09/1982 - 16/01/2025</t>
  </si>
  <si>
    <t>Fecha de consulta: 20/01/2025 01:29:43</t>
  </si>
  <si>
    <t>Ene 1969 - Dic 2024</t>
  </si>
  <si>
    <t>Fecha de consulta: 20/01/2025 01:31:20</t>
  </si>
  <si>
    <t>23/03/1995 - 21/01/2025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</si>
</sst>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mm\-yyyy"/>
    <numFmt numFmtId="165" formatCode="#,##0.0000"/>
    <numFmt numFmtId="166" formatCode="0.000"/>
    <numFmt numFmtId="167" formatCode="0.00000000"/>
    <numFmt numFmtId="168" formatCode="_-* #,##0.0000_-;\-* #,##0.0000_-;_-* &quot;-&quot;??_-;_-@_-"/>
    <numFmt numFmtId="169" formatCode="_-&quot;$&quot;* #,##0_-;\-&quot;$&quot;* #,##0_-;_-&quot;$&quot;* &quot;-&quot;??_-;_-@_-"/>
    <numFmt numFmtId="170" formatCode="0\ &quot;años&quot;"/>
    <numFmt numFmtId="171" formatCode="[$-80A]d&quot; de &quot;mmmm&quot; de &quot;yyyy;@"/>
    <numFmt numFmtId="172" formatCode="mmm\-yyyy"/>
    <numFmt numFmtId="173" formatCode="0.000000%"/>
    <numFmt numFmtId="174" formatCode="_(&quot;$&quot;* #,##0.00_);_(&quot;$&quot;* \(#,##0.00\);_(&quot;$&quot;* &quot;-&quot;??_);_(@_)"/>
    <numFmt numFmtId="175" formatCode="###,###,###,###,##0.000000000000"/>
    <numFmt numFmtId="176" formatCode="_-* #,##0_-;\-* #,##0_-;_-* &quot;-&quot;??_-;_-@_-"/>
    <numFmt numFmtId="177" formatCode="0.0000%"/>
    <numFmt numFmtId="178" formatCode="General_)"/>
    <numFmt numFmtId="179" formatCode="General\ &quot;meses&quot;"/>
    <numFmt numFmtId="180" formatCode="0.0"/>
    <numFmt numFmtId="181" formatCode="&quot;Jul&quot;\ yyyy"/>
    <numFmt numFmtId="182" formatCode="#,##0.000000000000"/>
    <numFmt numFmtId="183" formatCode="&quot;Ago&quot;\ yyyy"/>
    <numFmt numFmtId="184" formatCode="&quot;Sep&quot;\ yyyy"/>
    <numFmt numFmtId="185" formatCode="&quot;Ene&quot;\ yyyy"/>
    <numFmt numFmtId="186" formatCode="&quot;Feb&quot;\ yyyy"/>
    <numFmt numFmtId="187" formatCode="&quot;Mar&quot;\ yyyy"/>
    <numFmt numFmtId="188" formatCode="&quot;Abr&quot;\ yyyy"/>
    <numFmt numFmtId="189" formatCode="&quot;May&quot;\ yyyy"/>
    <numFmt numFmtId="190" formatCode="&quot;Jun&quot;\ yyyy"/>
    <numFmt numFmtId="191" formatCode="&quot;Oct&quot;\ yyyy"/>
    <numFmt numFmtId="192" formatCode="&quot;Nov&quot;\ yyyy"/>
    <numFmt numFmtId="193" formatCode="&quot;Dic&quot;\ yyyy"/>
  </numFmts>
  <fonts count="6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Helv"/>
    </font>
    <font>
      <b/>
      <sz val="8"/>
      <name val="Arial"/>
      <family val="2"/>
    </font>
    <font>
      <b/>
      <sz val="10"/>
      <name val="Arial"/>
      <family val="2"/>
    </font>
    <font>
      <b/>
      <i/>
      <sz val="11"/>
      <color theme="1" tint="0.499984740745262"/>
      <name val="Arial"/>
      <family val="2"/>
    </font>
    <font>
      <b/>
      <sz val="14"/>
      <name val="Arial"/>
      <family val="2"/>
    </font>
    <font>
      <sz val="9"/>
      <color rgb="FF0EA600"/>
      <name val="Arial"/>
      <family val="2"/>
    </font>
    <font>
      <b/>
      <sz val="11"/>
      <name val="Arial"/>
      <family val="2"/>
    </font>
    <font>
      <b/>
      <sz val="8"/>
      <color theme="0"/>
      <name val="Arial"/>
      <family val="2"/>
    </font>
    <font>
      <b/>
      <i/>
      <sz val="8"/>
      <name val="Arial"/>
      <family val="2"/>
    </font>
    <font>
      <u/>
      <sz val="11"/>
      <color theme="10"/>
      <name val="Calibri"/>
      <family val="2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rgb="FFC0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6"/>
      <color theme="1" tint="0.499984740745262"/>
      <name val="Arial"/>
      <family val="2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name val="Arial Narrow"/>
      <family val="2"/>
    </font>
    <font>
      <sz val="6"/>
      <name val="Arial"/>
      <family val="2"/>
    </font>
    <font>
      <b/>
      <sz val="10"/>
      <color theme="0" tint="-0.499984740745262"/>
      <name val="Arial"/>
      <family val="2"/>
    </font>
    <font>
      <sz val="8"/>
      <color indexed="62"/>
      <name val="Arial"/>
      <family val="2"/>
    </font>
    <font>
      <sz val="8"/>
      <color theme="0" tint="-0.499984740745262"/>
      <name val="Arial"/>
      <family val="2"/>
    </font>
    <font>
      <sz val="8"/>
      <color theme="0" tint="-0.249977111117893"/>
      <name val="Arial"/>
      <family val="2"/>
    </font>
    <font>
      <sz val="6"/>
      <color indexed="62"/>
      <name val="Arial"/>
      <family val="2"/>
    </font>
    <font>
      <b/>
      <sz val="19"/>
      <name val="Arial"/>
      <family val="2"/>
    </font>
    <font>
      <b/>
      <sz val="12"/>
      <color theme="0"/>
      <name val="Arial"/>
      <family val="2"/>
    </font>
    <font>
      <b/>
      <sz val="7"/>
      <color theme="0"/>
      <name val="Arial"/>
      <family val="2"/>
    </font>
    <font>
      <sz val="11"/>
      <color indexed="8"/>
      <name val="Calibri"/>
      <family val="2"/>
    </font>
    <font>
      <vertAlign val="subscript"/>
      <sz val="8"/>
      <name val="Arial"/>
      <family val="2"/>
    </font>
    <font>
      <sz val="7"/>
      <color theme="5" tint="-0.249977111117893"/>
      <name val="Arial"/>
      <family val="2"/>
    </font>
    <font>
      <sz val="8"/>
      <color theme="5" tint="-0.249977111117893"/>
      <name val="Arial"/>
      <family val="2"/>
    </font>
    <font>
      <b/>
      <i/>
      <sz val="10"/>
      <color theme="1" tint="0.499984740745262"/>
      <name val="Arial"/>
      <family val="2"/>
    </font>
    <font>
      <sz val="10"/>
      <color theme="5" tint="-0.249977111117893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none">
        <fgColor rgb="FFE3EBED"/>
      </patternFill>
    </fill>
    <fill>
      <patternFill patternType="solid">
        <fgColor rgb="FFE3EBE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rgb="FFE3EBED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5D5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3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C00000"/>
      </left>
      <right/>
      <top/>
      <bottom/>
      <diagonal/>
    </border>
    <border>
      <left style="mediumDashed">
        <color theme="5" tint="-0.499984740745262"/>
      </left>
      <right/>
      <top style="mediumDashed">
        <color theme="5" tint="-0.499984740745262"/>
      </top>
      <bottom/>
      <diagonal/>
    </border>
    <border>
      <left/>
      <right style="mediumDashed">
        <color theme="5" tint="-0.499984740745262"/>
      </right>
      <top style="mediumDashed">
        <color theme="5" tint="-0.499984740745262"/>
      </top>
      <bottom/>
      <diagonal/>
    </border>
    <border>
      <left style="mediumDashed">
        <color theme="5" tint="-0.499984740745262"/>
      </left>
      <right/>
      <top/>
      <bottom/>
      <diagonal/>
    </border>
    <border>
      <left/>
      <right style="mediumDashed">
        <color theme="5" tint="-0.499984740745262"/>
      </right>
      <top/>
      <bottom/>
      <diagonal/>
    </border>
    <border>
      <left style="mediumDashed">
        <color theme="5" tint="-0.499984740745262"/>
      </left>
      <right/>
      <top/>
      <bottom style="mediumDashed">
        <color theme="5" tint="-0.499984740745262"/>
      </bottom>
      <diagonal/>
    </border>
    <border>
      <left/>
      <right style="mediumDashed">
        <color theme="5" tint="-0.499984740745262"/>
      </right>
      <top/>
      <bottom style="mediumDashed">
        <color theme="5" tint="-0.499984740745262"/>
      </bottom>
      <diagonal/>
    </border>
    <border>
      <left/>
      <right/>
      <top style="mediumDashed">
        <color theme="5" tint="-0.499984740745262"/>
      </top>
      <bottom/>
      <diagonal/>
    </border>
    <border>
      <left/>
      <right/>
      <top/>
      <bottom style="mediumDashed">
        <color theme="5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1" tint="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 tint="-0.14996795556505021"/>
      </bottom>
      <diagonal/>
    </border>
    <border>
      <left/>
      <right style="thin">
        <color theme="0"/>
      </right>
      <top/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1" tint="0.34998626667073579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10" fillId="4" borderId="0"/>
    <xf numFmtId="0" fontId="10" fillId="4" borderId="0"/>
    <xf numFmtId="0" fontId="12" fillId="4" borderId="0"/>
    <xf numFmtId="9" fontId="13" fillId="4" borderId="0" applyFont="0" applyFill="0" applyBorder="0" applyAlignment="0" applyProtection="0"/>
    <xf numFmtId="0" fontId="7" fillId="4" borderId="0"/>
    <xf numFmtId="0" fontId="10" fillId="4" borderId="0"/>
    <xf numFmtId="0" fontId="6" fillId="4" borderId="0"/>
    <xf numFmtId="0" fontId="7" fillId="4" borderId="0"/>
    <xf numFmtId="0" fontId="7" fillId="4" borderId="0"/>
    <xf numFmtId="0" fontId="5" fillId="4" borderId="0"/>
    <xf numFmtId="43" fontId="10" fillId="4" borderId="0" applyFont="0" applyFill="0" applyBorder="0" applyAlignment="0" applyProtection="0"/>
    <xf numFmtId="0" fontId="22" fillId="4" borderId="0" applyNumberFormat="0" applyFill="0" applyBorder="0" applyAlignment="0" applyProtection="0">
      <alignment vertical="top"/>
      <protection locked="0"/>
    </xf>
    <xf numFmtId="9" fontId="5" fillId="4" borderId="0" applyFont="0" applyFill="0" applyBorder="0" applyAlignment="0" applyProtection="0"/>
    <xf numFmtId="9" fontId="10" fillId="4" borderId="0" applyFont="0" applyFill="0" applyBorder="0" applyAlignment="0" applyProtection="0"/>
    <xf numFmtId="0" fontId="7" fillId="4" borderId="0"/>
    <xf numFmtId="0" fontId="6" fillId="4" borderId="0"/>
    <xf numFmtId="9" fontId="10" fillId="4" borderId="0" applyFill="0" applyBorder="0" applyAlignment="0" applyProtection="0"/>
    <xf numFmtId="0" fontId="8" fillId="4" borderId="0" applyNumberFormat="0" applyFill="0" applyBorder="0" applyAlignment="0" applyProtection="0"/>
    <xf numFmtId="0" fontId="22" fillId="4" borderId="0" applyNumberFormat="0" applyFill="0" applyBorder="0" applyAlignment="0" applyProtection="0"/>
    <xf numFmtId="0" fontId="4" fillId="4" borderId="0"/>
    <xf numFmtId="9" fontId="4" fillId="4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4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4" borderId="0"/>
    <xf numFmtId="0" fontId="10" fillId="4" borderId="0"/>
    <xf numFmtId="0" fontId="10" fillId="4" borderId="0"/>
    <xf numFmtId="43" fontId="7" fillId="4" borderId="0" applyFont="0" applyFill="0" applyBorder="0" applyAlignment="0" applyProtection="0"/>
    <xf numFmtId="43" fontId="10" fillId="4" borderId="0" applyFont="0" applyFill="0" applyBorder="0" applyAlignment="0" applyProtection="0"/>
    <xf numFmtId="174" fontId="10" fillId="4" borderId="0" applyFont="0" applyFill="0" applyBorder="0" applyAlignment="0" applyProtection="0"/>
    <xf numFmtId="0" fontId="10" fillId="4" borderId="0"/>
    <xf numFmtId="0" fontId="40" fillId="4" borderId="0"/>
    <xf numFmtId="178" fontId="41" fillId="4" borderId="0"/>
    <xf numFmtId="0" fontId="42" fillId="4" borderId="0" applyProtection="0">
      <alignment horizontal="justify" vertical="top"/>
    </xf>
    <xf numFmtId="15" fontId="13" fillId="4" borderId="0"/>
    <xf numFmtId="0" fontId="10" fillId="4" borderId="0"/>
    <xf numFmtId="0" fontId="52" fillId="4" borderId="0"/>
    <xf numFmtId="43" fontId="10" fillId="4" borderId="0" applyFont="0" applyFill="0" applyBorder="0" applyAlignment="0" applyProtection="0"/>
    <xf numFmtId="44" fontId="10" fillId="4" borderId="0" applyFont="0" applyFill="0" applyBorder="0" applyAlignment="0" applyProtection="0"/>
  </cellStyleXfs>
  <cellXfs count="340">
    <xf numFmtId="0" fontId="0" fillId="0" borderId="0" xfId="0"/>
    <xf numFmtId="0" fontId="8" fillId="0" borderId="0" xfId="1"/>
    <xf numFmtId="17" fontId="9" fillId="6" borderId="0" xfId="0" applyNumberFormat="1" applyFont="1" applyFill="1" applyAlignment="1">
      <alignment horizontal="center"/>
    </xf>
    <xf numFmtId="2" fontId="9" fillId="6" borderId="0" xfId="2" applyNumberFormat="1" applyFont="1" applyFill="1"/>
    <xf numFmtId="164" fontId="11" fillId="6" borderId="0" xfId="0" applyNumberFormat="1" applyFont="1" applyFill="1" applyAlignment="1">
      <alignment horizontal="center"/>
    </xf>
    <xf numFmtId="0" fontId="12" fillId="4" borderId="3" xfId="3" applyFont="1" applyBorder="1"/>
    <xf numFmtId="0" fontId="12" fillId="4" borderId="1" xfId="3" applyFont="1" applyBorder="1"/>
    <xf numFmtId="0" fontId="12" fillId="4" borderId="3" xfId="4" applyBorder="1"/>
    <xf numFmtId="10" fontId="12" fillId="4" borderId="1" xfId="5" applyNumberFormat="1" applyFont="1" applyFill="1" applyBorder="1" applyAlignment="1"/>
    <xf numFmtId="0" fontId="12" fillId="4" borderId="4" xfId="4" applyBorder="1"/>
    <xf numFmtId="10" fontId="12" fillId="4" borderId="5" xfId="5" applyNumberFormat="1" applyFont="1" applyFill="1" applyBorder="1" applyAlignment="1"/>
    <xf numFmtId="0" fontId="14" fillId="4" borderId="6" xfId="4" applyFont="1" applyBorder="1"/>
    <xf numFmtId="10" fontId="14" fillId="4" borderId="7" xfId="5" applyNumberFormat="1" applyFont="1" applyFill="1" applyBorder="1" applyAlignment="1"/>
    <xf numFmtId="0" fontId="8" fillId="4" borderId="0" xfId="1" applyFill="1"/>
    <xf numFmtId="0" fontId="16" fillId="4" borderId="0" xfId="7" applyFont="1"/>
    <xf numFmtId="0" fontId="17" fillId="4" borderId="0" xfId="7" applyFont="1" applyAlignment="1">
      <alignment vertical="center"/>
    </xf>
    <xf numFmtId="0" fontId="10" fillId="4" borderId="0" xfId="7" applyAlignment="1">
      <alignment vertical="center"/>
    </xf>
    <xf numFmtId="4" fontId="18" fillId="4" borderId="0" xfId="7" applyNumberFormat="1" applyFont="1"/>
    <xf numFmtId="0" fontId="19" fillId="4" borderId="0" xfId="7" applyFont="1" applyAlignment="1">
      <alignment vertical="center"/>
    </xf>
    <xf numFmtId="0" fontId="14" fillId="4" borderId="8" xfId="7" applyFont="1" applyBorder="1" applyAlignment="1">
      <alignment vertical="center"/>
    </xf>
    <xf numFmtId="0" fontId="14" fillId="4" borderId="8" xfId="7" applyFont="1" applyBorder="1" applyAlignment="1">
      <alignment horizontal="center" vertical="center"/>
    </xf>
    <xf numFmtId="0" fontId="12" fillId="4" borderId="0" xfId="7" applyFont="1" applyAlignment="1">
      <alignment vertical="center"/>
    </xf>
    <xf numFmtId="0" fontId="14" fillId="7" borderId="12" xfId="11" applyFont="1" applyFill="1" applyBorder="1" applyAlignment="1">
      <alignment horizontal="justify" vertical="center" wrapText="1"/>
    </xf>
    <xf numFmtId="43" fontId="12" fillId="7" borderId="13" xfId="12" applyFont="1" applyFill="1" applyBorder="1" applyAlignment="1">
      <alignment horizontal="right" vertical="center" wrapText="1"/>
    </xf>
    <xf numFmtId="43" fontId="12" fillId="7" borderId="14" xfId="12" applyFont="1" applyFill="1" applyBorder="1" applyAlignment="1">
      <alignment horizontal="right" vertical="center" wrapText="1"/>
    </xf>
    <xf numFmtId="0" fontId="14" fillId="8" borderId="12" xfId="11" applyFont="1" applyFill="1" applyBorder="1" applyAlignment="1">
      <alignment horizontal="justify" vertical="center" wrapText="1"/>
    </xf>
    <xf numFmtId="43" fontId="12" fillId="8" borderId="13" xfId="12" applyFont="1" applyFill="1" applyBorder="1" applyAlignment="1">
      <alignment horizontal="right" vertical="center" wrapText="1"/>
    </xf>
    <xf numFmtId="43" fontId="12" fillId="8" borderId="14" xfId="12" applyFont="1" applyFill="1" applyBorder="1" applyAlignment="1">
      <alignment horizontal="right" vertical="center" wrapText="1"/>
    </xf>
    <xf numFmtId="0" fontId="21" fillId="4" borderId="0" xfId="7" applyFont="1" applyAlignment="1">
      <alignment vertical="center"/>
    </xf>
    <xf numFmtId="166" fontId="12" fillId="4" borderId="0" xfId="11" applyNumberFormat="1" applyFont="1" applyAlignment="1">
      <alignment vertical="center"/>
    </xf>
    <xf numFmtId="0" fontId="10" fillId="4" borderId="0" xfId="7"/>
    <xf numFmtId="0" fontId="12" fillId="4" borderId="0" xfId="11" applyFont="1" applyAlignment="1">
      <alignment vertical="center"/>
    </xf>
    <xf numFmtId="43" fontId="12" fillId="4" borderId="16" xfId="12" applyFont="1" applyFill="1" applyBorder="1" applyAlignment="1">
      <alignment vertical="center"/>
    </xf>
    <xf numFmtId="0" fontId="12" fillId="4" borderId="16" xfId="11" applyFont="1" applyBorder="1" applyAlignment="1">
      <alignment horizontal="center" vertical="center"/>
    </xf>
    <xf numFmtId="166" fontId="12" fillId="4" borderId="16" xfId="11" applyNumberFormat="1" applyFont="1" applyBorder="1" applyAlignment="1">
      <alignment vertical="center"/>
    </xf>
    <xf numFmtId="0" fontId="12" fillId="4" borderId="16" xfId="7" applyFont="1" applyBorder="1" applyAlignment="1">
      <alignment horizontal="center" vertical="center"/>
    </xf>
    <xf numFmtId="0" fontId="9" fillId="7" borderId="0" xfId="11" applyFont="1" applyFill="1" applyAlignment="1">
      <alignment vertical="center"/>
    </xf>
    <xf numFmtId="0" fontId="10" fillId="7" borderId="0" xfId="7" applyFill="1" applyAlignment="1">
      <alignment vertical="center"/>
    </xf>
    <xf numFmtId="10" fontId="9" fillId="7" borderId="0" xfId="14" applyNumberFormat="1" applyFont="1" applyFill="1" applyBorder="1" applyAlignment="1">
      <alignment vertical="center"/>
    </xf>
    <xf numFmtId="0" fontId="9" fillId="8" borderId="0" xfId="11" applyFont="1" applyFill="1" applyAlignment="1">
      <alignment vertical="center"/>
    </xf>
    <xf numFmtId="0" fontId="10" fillId="8" borderId="0" xfId="7" applyFill="1" applyAlignment="1">
      <alignment vertical="center"/>
    </xf>
    <xf numFmtId="10" fontId="9" fillId="8" borderId="0" xfId="15" applyNumberFormat="1" applyFont="1" applyFill="1" applyBorder="1"/>
    <xf numFmtId="0" fontId="7" fillId="4" borderId="0" xfId="16"/>
    <xf numFmtId="0" fontId="6" fillId="4" borderId="0" xfId="17"/>
    <xf numFmtId="17" fontId="9" fillId="6" borderId="0" xfId="16" applyNumberFormat="1" applyFont="1" applyFill="1" applyAlignment="1">
      <alignment horizontal="center"/>
    </xf>
    <xf numFmtId="164" fontId="11" fillId="6" borderId="0" xfId="16" applyNumberFormat="1" applyFont="1" applyFill="1" applyAlignment="1">
      <alignment horizontal="center"/>
    </xf>
    <xf numFmtId="0" fontId="11" fillId="4" borderId="0" xfId="16" applyFont="1"/>
    <xf numFmtId="17" fontId="9" fillId="6" borderId="0" xfId="17" applyNumberFormat="1" applyFont="1" applyFill="1" applyAlignment="1">
      <alignment horizontal="center"/>
    </xf>
    <xf numFmtId="164" fontId="11" fillId="6" borderId="0" xfId="17" applyNumberFormat="1" applyFont="1" applyFill="1" applyAlignment="1">
      <alignment horizontal="center"/>
    </xf>
    <xf numFmtId="0" fontId="8" fillId="4" borderId="0" xfId="1" applyFill="1" applyBorder="1" applyAlignment="1" applyProtection="1"/>
    <xf numFmtId="10" fontId="10" fillId="4" borderId="0" xfId="23" applyNumberFormat="1" applyFont="1" applyFill="1" applyBorder="1" applyAlignment="1">
      <alignment vertical="center"/>
    </xf>
    <xf numFmtId="164" fontId="7" fillId="4" borderId="0" xfId="16" applyNumberFormat="1"/>
    <xf numFmtId="0" fontId="7" fillId="4" borderId="0" xfId="16" applyAlignment="1">
      <alignment horizontal="center"/>
    </xf>
    <xf numFmtId="0" fontId="16" fillId="0" borderId="0" xfId="0" applyFont="1" applyAlignment="1">
      <alignment vertical="top"/>
    </xf>
    <xf numFmtId="0" fontId="2" fillId="0" borderId="0" xfId="0" applyFont="1"/>
    <xf numFmtId="167" fontId="0" fillId="0" borderId="0" xfId="0" applyNumberFormat="1"/>
    <xf numFmtId="0" fontId="25" fillId="7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2" fontId="9" fillId="9" borderId="2" xfId="27" applyNumberFormat="1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44" fontId="0" fillId="0" borderId="2" xfId="26" applyFont="1" applyBorder="1"/>
    <xf numFmtId="9" fontId="0" fillId="0" borderId="2" xfId="0" applyNumberFormat="1" applyBorder="1"/>
    <xf numFmtId="1" fontId="26" fillId="4" borderId="2" xfId="27" applyNumberFormat="1" applyFont="1" applyBorder="1" applyAlignment="1">
      <alignment horizontal="center" vertical="center"/>
    </xf>
    <xf numFmtId="169" fontId="26" fillId="4" borderId="2" xfId="27" applyNumberFormat="1" applyFont="1" applyBorder="1" applyAlignment="1">
      <alignment horizontal="center" vertical="center"/>
    </xf>
    <xf numFmtId="2" fontId="26" fillId="4" borderId="2" xfId="27" applyNumberFormat="1" applyFont="1" applyBorder="1" applyAlignment="1">
      <alignment horizontal="center" vertical="center"/>
    </xf>
    <xf numFmtId="10" fontId="25" fillId="12" borderId="2" xfId="23" applyNumberFormat="1" applyFont="1" applyFill="1" applyBorder="1"/>
    <xf numFmtId="0" fontId="27" fillId="4" borderId="0" xfId="27" applyFont="1" applyAlignment="1">
      <alignment vertical="center"/>
    </xf>
    <xf numFmtId="2" fontId="7" fillId="4" borderId="0" xfId="16" applyNumberFormat="1"/>
    <xf numFmtId="0" fontId="29" fillId="0" borderId="0" xfId="0" applyFont="1"/>
    <xf numFmtId="17" fontId="14" fillId="4" borderId="0" xfId="28" applyNumberFormat="1" applyFont="1" applyAlignment="1">
      <alignment horizontal="right" vertical="center"/>
    </xf>
    <xf numFmtId="0" fontId="12" fillId="4" borderId="0" xfId="28" applyFont="1" applyAlignment="1">
      <alignment horizontal="left" vertical="center"/>
    </xf>
    <xf numFmtId="0" fontId="14" fillId="4" borderId="0" xfId="28" applyFont="1" applyAlignment="1">
      <alignment horizontal="left" vertical="center"/>
    </xf>
    <xf numFmtId="17" fontId="14" fillId="4" borderId="0" xfId="28" applyNumberFormat="1" applyFont="1" applyAlignment="1">
      <alignment horizontal="left" vertical="center"/>
    </xf>
    <xf numFmtId="2" fontId="9" fillId="6" borderId="0" xfId="2" applyNumberFormat="1" applyFont="1" applyFill="1" applyAlignment="1">
      <alignment horizontal="center"/>
    </xf>
    <xf numFmtId="0" fontId="31" fillId="10" borderId="2" xfId="0" applyFont="1" applyFill="1" applyBorder="1" applyAlignment="1">
      <alignment horizontal="center" vertical="center" wrapText="1"/>
    </xf>
    <xf numFmtId="166" fontId="10" fillId="7" borderId="2" xfId="4" applyNumberFormat="1" applyFont="1" applyFill="1" applyBorder="1" applyAlignment="1">
      <alignment horizontal="center" vertical="center"/>
    </xf>
    <xf numFmtId="0" fontId="12" fillId="4" borderId="20" xfId="4" applyBorder="1" applyAlignment="1">
      <alignment vertical="center"/>
    </xf>
    <xf numFmtId="0" fontId="12" fillId="4" borderId="20" xfId="4" applyBorder="1"/>
    <xf numFmtId="17" fontId="7" fillId="9" borderId="0" xfId="16" applyNumberFormat="1" applyFill="1" applyAlignment="1">
      <alignment horizontal="center"/>
    </xf>
    <xf numFmtId="10" fontId="0" fillId="0" borderId="0" xfId="0" applyNumberFormat="1"/>
    <xf numFmtId="10" fontId="34" fillId="0" borderId="0" xfId="15" applyNumberFormat="1" applyFont="1" applyFill="1" applyBorder="1" applyAlignment="1">
      <alignment horizontal="center" vertical="center"/>
    </xf>
    <xf numFmtId="10" fontId="34" fillId="0" borderId="25" xfId="15" applyNumberFormat="1" applyFont="1" applyFill="1" applyBorder="1" applyAlignment="1">
      <alignment horizontal="center" vertical="center"/>
    </xf>
    <xf numFmtId="0" fontId="12" fillId="0" borderId="0" xfId="4" applyFill="1" applyAlignment="1">
      <alignment vertical="center"/>
    </xf>
    <xf numFmtId="0" fontId="12" fillId="4" borderId="0" xfId="4" applyAlignment="1">
      <alignment vertical="center"/>
    </xf>
    <xf numFmtId="0" fontId="12" fillId="7" borderId="0" xfId="4" applyFill="1" applyAlignment="1">
      <alignment vertical="center"/>
    </xf>
    <xf numFmtId="0" fontId="19" fillId="0" borderId="0" xfId="0" applyFont="1" applyAlignment="1">
      <alignment horizontal="right" vertical="center"/>
    </xf>
    <xf numFmtId="10" fontId="34" fillId="0" borderId="21" xfId="15" applyNumberFormat="1" applyFont="1" applyFill="1" applyBorder="1" applyAlignment="1">
      <alignment horizontal="right" vertical="center"/>
    </xf>
    <xf numFmtId="2" fontId="34" fillId="0" borderId="21" xfId="29" applyNumberFormat="1" applyFont="1" applyFill="1" applyBorder="1" applyAlignment="1">
      <alignment horizontal="right" vertical="center"/>
    </xf>
    <xf numFmtId="10" fontId="34" fillId="0" borderId="23" xfId="15" applyNumberFormat="1" applyFont="1" applyFill="1" applyBorder="1" applyAlignment="1">
      <alignment horizontal="right" vertical="center"/>
    </xf>
    <xf numFmtId="172" fontId="36" fillId="4" borderId="20" xfId="4" applyNumberFormat="1" applyFont="1" applyBorder="1" applyAlignment="1">
      <alignment horizontal="center" vertical="center"/>
    </xf>
    <xf numFmtId="172" fontId="36" fillId="4" borderId="0" xfId="4" applyNumberFormat="1" applyFont="1" applyAlignment="1">
      <alignment horizontal="center" vertical="center"/>
    </xf>
    <xf numFmtId="0" fontId="15" fillId="8" borderId="0" xfId="7" applyFont="1" applyFill="1" applyAlignment="1">
      <alignment vertical="center"/>
    </xf>
    <xf numFmtId="10" fontId="15" fillId="8" borderId="0" xfId="15" applyNumberFormat="1" applyFont="1" applyFill="1" applyBorder="1" applyAlignment="1">
      <alignment horizontal="center" vertical="center"/>
    </xf>
    <xf numFmtId="172" fontId="36" fillId="4" borderId="18" xfId="4" applyNumberFormat="1" applyFont="1" applyBorder="1" applyAlignment="1">
      <alignment horizontal="center" vertical="center"/>
    </xf>
    <xf numFmtId="172" fontId="36" fillId="4" borderId="24" xfId="4" applyNumberFormat="1" applyFont="1" applyBorder="1" applyAlignment="1">
      <alignment horizontal="center" vertical="center"/>
    </xf>
    <xf numFmtId="173" fontId="34" fillId="0" borderId="21" xfId="15" applyNumberFormat="1" applyFont="1" applyFill="1" applyBorder="1" applyAlignment="1">
      <alignment horizontal="right" vertical="center"/>
    </xf>
    <xf numFmtId="173" fontId="12" fillId="4" borderId="19" xfId="15" applyNumberFormat="1" applyFont="1" applyBorder="1" applyAlignment="1">
      <alignment horizontal="right" vertical="center"/>
    </xf>
    <xf numFmtId="10" fontId="12" fillId="4" borderId="0" xfId="23" applyNumberFormat="1" applyFont="1" applyFill="1" applyBorder="1" applyAlignment="1">
      <alignment vertical="center"/>
    </xf>
    <xf numFmtId="168" fontId="12" fillId="7" borderId="0" xfId="12" applyNumberFormat="1" applyFont="1" applyFill="1" applyBorder="1" applyAlignment="1">
      <alignment vertical="center"/>
    </xf>
    <xf numFmtId="168" fontId="12" fillId="4" borderId="0" xfId="12" applyNumberFormat="1" applyFont="1" applyBorder="1" applyAlignment="1">
      <alignment vertical="center"/>
    </xf>
    <xf numFmtId="0" fontId="19" fillId="7" borderId="0" xfId="4" applyFont="1" applyFill="1" applyAlignment="1">
      <alignment horizontal="left" vertical="center"/>
    </xf>
    <xf numFmtId="0" fontId="0" fillId="0" borderId="20" xfId="0" applyBorder="1"/>
    <xf numFmtId="0" fontId="0" fillId="0" borderId="22" xfId="0" applyBorder="1"/>
    <xf numFmtId="0" fontId="15" fillId="8" borderId="0" xfId="7" applyFont="1" applyFill="1" applyAlignment="1">
      <alignment horizontal="center" vertical="center"/>
    </xf>
    <xf numFmtId="0" fontId="0" fillId="0" borderId="21" xfId="0" applyBorder="1" applyAlignment="1">
      <alignment horizontal="right"/>
    </xf>
    <xf numFmtId="173" fontId="12" fillId="4" borderId="21" xfId="15" applyNumberFormat="1" applyFont="1" applyFill="1" applyBorder="1" applyAlignment="1">
      <alignment horizontal="right" vertical="center"/>
    </xf>
    <xf numFmtId="0" fontId="23" fillId="0" borderId="20" xfId="0" applyFont="1" applyBorder="1" applyAlignment="1">
      <alignment horizontal="justify" vertical="center" wrapText="1"/>
    </xf>
    <xf numFmtId="170" fontId="14" fillId="4" borderId="21" xfId="30" applyNumberFormat="1" applyFont="1" applyFill="1" applyBorder="1" applyAlignment="1">
      <alignment vertical="center"/>
    </xf>
    <xf numFmtId="0" fontId="12" fillId="4" borderId="22" xfId="4" applyBorder="1"/>
    <xf numFmtId="0" fontId="12" fillId="4" borderId="25" xfId="4" applyBorder="1"/>
    <xf numFmtId="0" fontId="23" fillId="0" borderId="0" xfId="0" applyFont="1" applyAlignment="1">
      <alignment horizontal="justify" vertical="center" wrapText="1"/>
    </xf>
    <xf numFmtId="0" fontId="35" fillId="4" borderId="0" xfId="29" applyFont="1" applyAlignment="1">
      <alignment horizontal="center" vertical="center"/>
    </xf>
    <xf numFmtId="0" fontId="35" fillId="0" borderId="0" xfId="29" applyFont="1" applyFill="1" applyAlignment="1">
      <alignment horizontal="center" vertical="center"/>
    </xf>
    <xf numFmtId="173" fontId="34" fillId="0" borderId="19" xfId="15" applyNumberFormat="1" applyFont="1" applyFill="1" applyBorder="1" applyAlignment="1">
      <alignment horizontal="right" vertical="center"/>
    </xf>
    <xf numFmtId="0" fontId="34" fillId="4" borderId="0" xfId="29" applyFont="1" applyAlignment="1">
      <alignment vertical="center"/>
    </xf>
    <xf numFmtId="43" fontId="10" fillId="4" borderId="0" xfId="25" applyFont="1" applyFill="1" applyBorder="1"/>
    <xf numFmtId="10" fontId="12" fillId="4" borderId="16" xfId="23" applyNumberFormat="1" applyFont="1" applyFill="1" applyBorder="1" applyAlignment="1">
      <alignment vertical="center"/>
    </xf>
    <xf numFmtId="2" fontId="10" fillId="4" borderId="0" xfId="7" applyNumberFormat="1"/>
    <xf numFmtId="43" fontId="0" fillId="0" borderId="0" xfId="25" applyFont="1"/>
    <xf numFmtId="10" fontId="2" fillId="0" borderId="0" xfId="0" applyNumberFormat="1" applyFont="1"/>
    <xf numFmtId="43" fontId="0" fillId="0" borderId="0" xfId="25" applyFont="1" applyFill="1" applyBorder="1"/>
    <xf numFmtId="10" fontId="0" fillId="0" borderId="0" xfId="23" applyNumberFormat="1" applyFont="1"/>
    <xf numFmtId="10" fontId="0" fillId="0" borderId="26" xfId="0" applyNumberFormat="1" applyBorder="1"/>
    <xf numFmtId="10" fontId="0" fillId="0" borderId="27" xfId="0" applyNumberFormat="1" applyBorder="1"/>
    <xf numFmtId="10" fontId="14" fillId="4" borderId="28" xfId="5" applyNumberFormat="1" applyFont="1" applyFill="1" applyBorder="1" applyAlignment="1"/>
    <xf numFmtId="43" fontId="7" fillId="4" borderId="0" xfId="25" applyFill="1"/>
    <xf numFmtId="43" fontId="10" fillId="4" borderId="0" xfId="7" applyNumberFormat="1"/>
    <xf numFmtId="10" fontId="10" fillId="4" borderId="0" xfId="23" applyNumberFormat="1" applyFont="1" applyFill="1"/>
    <xf numFmtId="43" fontId="12" fillId="4" borderId="21" xfId="12" applyFont="1" applyBorder="1" applyAlignment="1">
      <alignment horizontal="right" vertical="center"/>
    </xf>
    <xf numFmtId="43" fontId="12" fillId="4" borderId="23" xfId="31" applyFont="1" applyBorder="1" applyAlignment="1">
      <alignment horizontal="right" vertical="center"/>
    </xf>
    <xf numFmtId="9" fontId="0" fillId="0" borderId="0" xfId="23" applyFont="1"/>
    <xf numFmtId="43" fontId="0" fillId="0" borderId="0" xfId="0" applyNumberFormat="1"/>
    <xf numFmtId="0" fontId="12" fillId="16" borderId="9" xfId="11" applyFont="1" applyFill="1" applyBorder="1" applyAlignment="1">
      <alignment horizontal="justify" vertical="center" wrapText="1"/>
    </xf>
    <xf numFmtId="0" fontId="20" fillId="16" borderId="10" xfId="11" applyFont="1" applyFill="1" applyBorder="1" applyAlignment="1">
      <alignment horizontal="center" vertical="center" wrapText="1"/>
    </xf>
    <xf numFmtId="0" fontId="20" fillId="16" borderId="11" xfId="11" applyFont="1" applyFill="1" applyBorder="1" applyAlignment="1">
      <alignment horizontal="center" vertical="center" wrapText="1"/>
    </xf>
    <xf numFmtId="0" fontId="20" fillId="16" borderId="9" xfId="11" applyFont="1" applyFill="1" applyBorder="1" applyAlignment="1">
      <alignment horizontal="center" vertical="center" wrapText="1"/>
    </xf>
    <xf numFmtId="0" fontId="14" fillId="15" borderId="15" xfId="11" applyFont="1" applyFill="1" applyBorder="1" applyAlignment="1">
      <alignment vertical="center"/>
    </xf>
    <xf numFmtId="43" fontId="0" fillId="4" borderId="0" xfId="30" applyFont="1"/>
    <xf numFmtId="176" fontId="0" fillId="4" borderId="0" xfId="30" applyNumberFormat="1" applyFont="1"/>
    <xf numFmtId="176" fontId="0" fillId="0" borderId="0" xfId="23" applyNumberFormat="1" applyFont="1"/>
    <xf numFmtId="177" fontId="12" fillId="4" borderId="0" xfId="15" applyNumberFormat="1" applyFont="1" applyBorder="1" applyAlignment="1">
      <alignment horizontal="right" vertical="center"/>
    </xf>
    <xf numFmtId="177" fontId="12" fillId="0" borderId="0" xfId="15" applyNumberFormat="1" applyFont="1" applyFill="1" applyBorder="1" applyAlignment="1">
      <alignment horizontal="right" vertical="center"/>
    </xf>
    <xf numFmtId="177" fontId="12" fillId="0" borderId="0" xfId="15" applyNumberFormat="1" applyFont="1" applyFill="1" applyBorder="1" applyAlignment="1">
      <alignment vertical="center"/>
    </xf>
    <xf numFmtId="178" fontId="10" fillId="4" borderId="0" xfId="35" applyFont="1" applyAlignment="1" applyProtection="1">
      <alignment vertical="center"/>
      <protection locked="0"/>
    </xf>
    <xf numFmtId="178" fontId="11" fillId="4" borderId="0" xfId="35" applyFont="1" applyAlignment="1" applyProtection="1">
      <alignment vertical="center"/>
      <protection locked="0"/>
    </xf>
    <xf numFmtId="0" fontId="10" fillId="4" borderId="0" xfId="7" applyAlignment="1" applyProtection="1">
      <alignment vertical="center"/>
      <protection locked="0"/>
    </xf>
    <xf numFmtId="0" fontId="15" fillId="4" borderId="0" xfId="7" applyFont="1" applyAlignment="1" applyProtection="1">
      <alignment vertical="center"/>
      <protection locked="0"/>
    </xf>
    <xf numFmtId="0" fontId="15" fillId="8" borderId="0" xfId="36" quotePrefix="1" applyFont="1" applyFill="1" applyAlignment="1" applyProtection="1">
      <alignment vertical="center"/>
      <protection locked="0"/>
    </xf>
    <xf numFmtId="178" fontId="43" fillId="4" borderId="0" xfId="35" applyFont="1" applyAlignment="1" applyProtection="1">
      <alignment vertical="center"/>
      <protection locked="0"/>
    </xf>
    <xf numFmtId="0" fontId="43" fillId="4" borderId="0" xfId="7" applyFont="1" applyAlignment="1" applyProtection="1">
      <alignment vertical="center"/>
      <protection locked="0"/>
    </xf>
    <xf numFmtId="0" fontId="14" fillId="4" borderId="0" xfId="36" applyFont="1" applyAlignment="1" applyProtection="1">
      <alignment horizontal="right" vertical="center"/>
      <protection locked="0"/>
    </xf>
    <xf numFmtId="15" fontId="44" fillId="17" borderId="0" xfId="37" applyFont="1" applyFill="1" applyAlignment="1" applyProtection="1">
      <alignment horizontal="right" vertical="center"/>
      <protection locked="0"/>
    </xf>
    <xf numFmtId="0" fontId="12" fillId="4" borderId="0" xfId="7" applyFont="1" applyAlignment="1" applyProtection="1">
      <alignment vertical="center"/>
      <protection locked="0"/>
    </xf>
    <xf numFmtId="178" fontId="45" fillId="4" borderId="0" xfId="35" applyFont="1" applyAlignment="1" applyProtection="1">
      <alignment vertical="center"/>
      <protection locked="0"/>
    </xf>
    <xf numFmtId="15" fontId="12" fillId="4" borderId="0" xfId="37" applyFont="1" applyAlignment="1" applyProtection="1">
      <alignment vertical="center"/>
      <protection locked="0"/>
    </xf>
    <xf numFmtId="15" fontId="46" fillId="17" borderId="0" xfId="37" applyFont="1" applyFill="1" applyAlignment="1" applyProtection="1">
      <alignment horizontal="right" vertical="center"/>
      <protection locked="0"/>
    </xf>
    <xf numFmtId="15" fontId="47" fillId="4" borderId="0" xfId="34" applyNumberFormat="1" applyFont="1"/>
    <xf numFmtId="178" fontId="48" fillId="4" borderId="0" xfId="35" applyFont="1" applyAlignment="1" applyProtection="1">
      <alignment vertical="center"/>
      <protection locked="0"/>
    </xf>
    <xf numFmtId="15" fontId="43" fillId="18" borderId="0" xfId="37" applyFont="1" applyFill="1" applyAlignment="1" applyProtection="1">
      <alignment vertical="center"/>
      <protection locked="0"/>
    </xf>
    <xf numFmtId="0" fontId="10" fillId="4" borderId="0" xfId="7" applyAlignment="1" applyProtection="1">
      <alignment vertical="top"/>
      <protection locked="0"/>
    </xf>
    <xf numFmtId="0" fontId="34" fillId="4" borderId="0" xfId="29" applyFont="1" applyAlignment="1">
      <alignment horizontal="left"/>
    </xf>
    <xf numFmtId="0" fontId="10" fillId="4" borderId="0" xfId="29"/>
    <xf numFmtId="0" fontId="34" fillId="4" borderId="0" xfId="29" applyFont="1"/>
    <xf numFmtId="0" fontId="16" fillId="4" borderId="0" xfId="29" applyFont="1"/>
    <xf numFmtId="0" fontId="16" fillId="4" borderId="0" xfId="34" applyFont="1"/>
    <xf numFmtId="0" fontId="35" fillId="8" borderId="0" xfId="29" applyFont="1" applyFill="1" applyAlignment="1">
      <alignment horizontal="center" vertical="center"/>
    </xf>
    <xf numFmtId="0" fontId="35" fillId="8" borderId="14" xfId="29" applyFont="1" applyFill="1" applyBorder="1" applyAlignment="1">
      <alignment horizontal="center" vertical="center"/>
    </xf>
    <xf numFmtId="0" fontId="35" fillId="8" borderId="0" xfId="29" applyFont="1" applyFill="1" applyAlignment="1">
      <alignment vertical="center"/>
    </xf>
    <xf numFmtId="10" fontId="34" fillId="4" borderId="14" xfId="15" applyNumberFormat="1" applyFont="1" applyFill="1" applyBorder="1" applyAlignment="1">
      <alignment vertical="center"/>
    </xf>
    <xf numFmtId="10" fontId="34" fillId="4" borderId="0" xfId="29" applyNumberFormat="1" applyFont="1" applyAlignment="1">
      <alignment vertical="center"/>
    </xf>
    <xf numFmtId="0" fontId="34" fillId="7" borderId="0" xfId="29" applyFont="1" applyFill="1" applyAlignment="1">
      <alignment vertical="center"/>
    </xf>
    <xf numFmtId="10" fontId="34" fillId="7" borderId="14" xfId="15" applyNumberFormat="1" applyFont="1" applyFill="1" applyBorder="1" applyAlignment="1">
      <alignment vertical="center"/>
    </xf>
    <xf numFmtId="10" fontId="34" fillId="8" borderId="0" xfId="29" applyNumberFormat="1" applyFont="1" applyFill="1" applyAlignment="1">
      <alignment vertical="center"/>
    </xf>
    <xf numFmtId="0" fontId="54" fillId="4" borderId="0" xfId="29" applyFont="1" applyAlignment="1">
      <alignment vertical="center"/>
    </xf>
    <xf numFmtId="10" fontId="54" fillId="4" borderId="14" xfId="15" applyNumberFormat="1" applyFont="1" applyFill="1" applyBorder="1" applyAlignment="1">
      <alignment horizontal="center" vertical="center"/>
    </xf>
    <xf numFmtId="10" fontId="34" fillId="7" borderId="0" xfId="29" applyNumberFormat="1" applyFont="1" applyFill="1" applyAlignment="1">
      <alignment vertical="center"/>
    </xf>
    <xf numFmtId="2" fontId="34" fillId="7" borderId="0" xfId="29" applyNumberFormat="1" applyFont="1" applyFill="1" applyAlignment="1">
      <alignment vertical="center"/>
    </xf>
    <xf numFmtId="10" fontId="34" fillId="4" borderId="0" xfId="15" applyNumberFormat="1" applyFont="1" applyAlignment="1">
      <alignment vertical="center"/>
    </xf>
    <xf numFmtId="10" fontId="54" fillId="4" borderId="14" xfId="15" applyNumberFormat="1" applyFont="1" applyFill="1" applyBorder="1" applyAlignment="1">
      <alignment vertical="center"/>
    </xf>
    <xf numFmtId="0" fontId="10" fillId="4" borderId="0" xfId="29" applyAlignment="1">
      <alignment vertical="center"/>
    </xf>
    <xf numFmtId="10" fontId="54" fillId="7" borderId="14" xfId="15" applyNumberFormat="1" applyFont="1" applyFill="1" applyBorder="1" applyAlignment="1">
      <alignment vertical="center"/>
    </xf>
    <xf numFmtId="0" fontId="21" fillId="4" borderId="0" xfId="29" applyFont="1"/>
    <xf numFmtId="0" fontId="56" fillId="4" borderId="0" xfId="34" applyFont="1"/>
    <xf numFmtId="0" fontId="57" fillId="4" borderId="0" xfId="29" applyFont="1"/>
    <xf numFmtId="0" fontId="57" fillId="4" borderId="0" xfId="29" applyFont="1" applyAlignment="1">
      <alignment vertical="center"/>
    </xf>
    <xf numFmtId="0" fontId="15" fillId="4" borderId="0" xfId="7" applyFont="1" applyAlignment="1" applyProtection="1">
      <alignment vertical="center" wrapText="1"/>
      <protection locked="0"/>
    </xf>
    <xf numFmtId="17" fontId="15" fillId="4" borderId="0" xfId="7" applyNumberFormat="1" applyFont="1" applyAlignment="1" applyProtection="1">
      <alignment horizontal="right" vertical="center"/>
      <protection locked="0"/>
    </xf>
    <xf numFmtId="10" fontId="10" fillId="4" borderId="0" xfId="29" applyNumberFormat="1"/>
    <xf numFmtId="10" fontId="43" fillId="4" borderId="0" xfId="29" applyNumberFormat="1" applyFont="1"/>
    <xf numFmtId="0" fontId="58" fillId="0" borderId="0" xfId="0" applyFont="1"/>
    <xf numFmtId="0" fontId="59" fillId="0" borderId="0" xfId="0" applyFont="1"/>
    <xf numFmtId="0" fontId="59" fillId="2" borderId="2" xfId="0" applyFont="1" applyFill="1" applyBorder="1" applyAlignment="1">
      <alignment horizontal="right" vertical="center" wrapText="1"/>
    </xf>
    <xf numFmtId="0" fontId="60" fillId="2" borderId="2" xfId="0" applyFont="1" applyFill="1" applyBorder="1" applyAlignment="1">
      <alignment horizontal="center" vertical="center" wrapText="1"/>
    </xf>
    <xf numFmtId="0" fontId="59" fillId="5" borderId="2" xfId="0" applyFont="1" applyFill="1" applyBorder="1" applyAlignment="1">
      <alignment horizontal="right" vertical="center" wrapText="1"/>
    </xf>
    <xf numFmtId="0" fontId="59" fillId="5" borderId="2" xfId="0" applyFont="1" applyFill="1" applyBorder="1" applyAlignment="1">
      <alignment horizontal="center" vertical="center" wrapText="1"/>
    </xf>
    <xf numFmtId="14" fontId="59" fillId="0" borderId="2" xfId="0" applyNumberFormat="1" applyFont="1" applyBorder="1" applyAlignment="1">
      <alignment horizontal="right" vertical="center"/>
    </xf>
    <xf numFmtId="178" fontId="10" fillId="0" borderId="0" xfId="35" applyFont="1" applyFill="1" applyAlignment="1" applyProtection="1">
      <alignment vertical="center"/>
      <protection locked="0"/>
    </xf>
    <xf numFmtId="171" fontId="30" fillId="0" borderId="17" xfId="28" applyNumberFormat="1" applyFont="1" applyFill="1" applyBorder="1" applyAlignment="1">
      <alignment horizontal="center" vertical="center"/>
    </xf>
    <xf numFmtId="0" fontId="32" fillId="20" borderId="0" xfId="0" applyFont="1" applyFill="1" applyAlignment="1">
      <alignment horizontal="center" vertical="center"/>
    </xf>
    <xf numFmtId="0" fontId="32" fillId="20" borderId="0" xfId="0" applyFont="1" applyFill="1" applyAlignment="1">
      <alignment horizontal="center" vertical="center" wrapText="1"/>
    </xf>
    <xf numFmtId="0" fontId="15" fillId="15" borderId="0" xfId="7" applyFont="1" applyFill="1" applyAlignment="1">
      <alignment horizontal="center" vertical="center"/>
    </xf>
    <xf numFmtId="170" fontId="38" fillId="15" borderId="0" xfId="25" applyNumberFormat="1" applyFont="1" applyFill="1" applyBorder="1" applyAlignment="1">
      <alignment horizontal="center" vertical="center"/>
    </xf>
    <xf numFmtId="0" fontId="33" fillId="21" borderId="0" xfId="4" applyFont="1" applyFill="1" applyAlignment="1">
      <alignment vertical="center"/>
    </xf>
    <xf numFmtId="0" fontId="14" fillId="21" borderId="0" xfId="4" applyFont="1" applyFill="1" applyAlignment="1">
      <alignment vertical="center"/>
    </xf>
    <xf numFmtId="170" fontId="33" fillId="21" borderId="0" xfId="25" applyNumberFormat="1" applyFont="1" applyFill="1" applyBorder="1" applyAlignment="1">
      <alignment vertical="center"/>
    </xf>
    <xf numFmtId="10" fontId="12" fillId="21" borderId="0" xfId="15" applyNumberFormat="1" applyFont="1" applyFill="1" applyBorder="1" applyAlignment="1">
      <alignment vertical="center"/>
    </xf>
    <xf numFmtId="0" fontId="12" fillId="21" borderId="0" xfId="4" applyFill="1" applyAlignment="1">
      <alignment vertical="center"/>
    </xf>
    <xf numFmtId="0" fontId="23" fillId="15" borderId="0" xfId="0" applyFont="1" applyFill="1" applyAlignment="1">
      <alignment horizontal="justify" vertical="center" wrapText="1"/>
    </xf>
    <xf numFmtId="170" fontId="14" fillId="15" borderId="0" xfId="25" applyNumberFormat="1" applyFont="1" applyFill="1" applyBorder="1" applyAlignment="1">
      <alignment vertical="center"/>
    </xf>
    <xf numFmtId="0" fontId="12" fillId="15" borderId="0" xfId="4" applyFill="1"/>
    <xf numFmtId="43" fontId="12" fillId="15" borderId="0" xfId="12" applyFont="1" applyFill="1" applyBorder="1" applyAlignment="1">
      <alignment horizontal="right" vertical="center"/>
    </xf>
    <xf numFmtId="0" fontId="37" fillId="15" borderId="0" xfId="7" applyFont="1" applyFill="1" applyAlignment="1">
      <alignment horizontal="center" vertical="center"/>
    </xf>
    <xf numFmtId="170" fontId="37" fillId="15" borderId="0" xfId="25" applyNumberFormat="1" applyFont="1" applyFill="1" applyBorder="1" applyAlignment="1">
      <alignment horizontal="center" vertical="center"/>
    </xf>
    <xf numFmtId="0" fontId="51" fillId="16" borderId="0" xfId="29" applyFont="1" applyFill="1" applyAlignment="1">
      <alignment vertical="center"/>
    </xf>
    <xf numFmtId="10" fontId="51" fillId="16" borderId="0" xfId="29" applyNumberFormat="1" applyFont="1" applyFill="1" applyAlignment="1">
      <alignment vertical="center"/>
    </xf>
    <xf numFmtId="10" fontId="51" fillId="16" borderId="0" xfId="29" applyNumberFormat="1" applyFont="1" applyFill="1" applyAlignment="1">
      <alignment horizontal="right" vertical="center"/>
    </xf>
    <xf numFmtId="10" fontId="20" fillId="16" borderId="0" xfId="29" applyNumberFormat="1" applyFont="1" applyFill="1" applyAlignment="1">
      <alignment vertical="center"/>
    </xf>
    <xf numFmtId="181" fontId="59" fillId="0" borderId="2" xfId="0" applyNumberFormat="1" applyFont="1" applyBorder="1" applyAlignment="1">
      <alignment horizontal="right" vertical="center"/>
    </xf>
    <xf numFmtId="183" fontId="59" fillId="0" borderId="2" xfId="0" applyNumberFormat="1" applyFont="1" applyBorder="1" applyAlignment="1">
      <alignment horizontal="right" vertical="center"/>
    </xf>
    <xf numFmtId="184" fontId="59" fillId="0" borderId="2" xfId="0" applyNumberFormat="1" applyFont="1" applyBorder="1" applyAlignment="1">
      <alignment horizontal="right" vertical="center"/>
    </xf>
    <xf numFmtId="0" fontId="60" fillId="0" borderId="0" xfId="0" applyFont="1"/>
    <xf numFmtId="185" fontId="59" fillId="0" borderId="2" xfId="0" applyNumberFormat="1" applyFont="1" applyBorder="1" applyAlignment="1">
      <alignment horizontal="right" vertical="center"/>
    </xf>
    <xf numFmtId="186" fontId="59" fillId="0" borderId="2" xfId="0" applyNumberFormat="1" applyFont="1" applyBorder="1" applyAlignment="1">
      <alignment horizontal="right" vertical="center"/>
    </xf>
    <xf numFmtId="187" fontId="59" fillId="0" borderId="2" xfId="0" applyNumberFormat="1" applyFont="1" applyBorder="1" applyAlignment="1">
      <alignment horizontal="right" vertical="center"/>
    </xf>
    <xf numFmtId="188" fontId="59" fillId="0" borderId="2" xfId="0" applyNumberFormat="1" applyFont="1" applyBorder="1" applyAlignment="1">
      <alignment horizontal="right" vertical="center"/>
    </xf>
    <xf numFmtId="189" fontId="59" fillId="0" borderId="2" xfId="0" applyNumberFormat="1" applyFont="1" applyBorder="1" applyAlignment="1">
      <alignment horizontal="right" vertical="center"/>
    </xf>
    <xf numFmtId="190" fontId="59" fillId="0" borderId="2" xfId="0" applyNumberFormat="1" applyFont="1" applyBorder="1" applyAlignment="1">
      <alignment horizontal="right" vertical="center"/>
    </xf>
    <xf numFmtId="191" fontId="59" fillId="0" borderId="2" xfId="0" applyNumberFormat="1" applyFont="1" applyBorder="1" applyAlignment="1">
      <alignment horizontal="right" vertical="center"/>
    </xf>
    <xf numFmtId="192" fontId="59" fillId="0" borderId="2" xfId="0" applyNumberFormat="1" applyFont="1" applyBorder="1" applyAlignment="1">
      <alignment horizontal="right" vertical="center"/>
    </xf>
    <xf numFmtId="193" fontId="59" fillId="0" borderId="2" xfId="0" applyNumberFormat="1" applyFont="1" applyBorder="1" applyAlignment="1">
      <alignment horizontal="right" vertical="center"/>
    </xf>
    <xf numFmtId="0" fontId="61" fillId="0" borderId="0" xfId="0" applyFont="1" applyAlignment="1">
      <alignment horizontal="center" vertical="top"/>
    </xf>
    <xf numFmtId="175" fontId="62" fillId="0" borderId="0" xfId="0" applyNumberFormat="1" applyFont="1" applyAlignment="1">
      <alignment horizontal="right"/>
    </xf>
    <xf numFmtId="0" fontId="62" fillId="0" borderId="0" xfId="0" applyFont="1" applyAlignment="1">
      <alignment horizontal="right"/>
    </xf>
    <xf numFmtId="0" fontId="61" fillId="0" borderId="0" xfId="0" applyFont="1" applyAlignment="1">
      <alignment horizontal="left" vertical="top" wrapText="1"/>
    </xf>
    <xf numFmtId="0" fontId="62" fillId="0" borderId="0" xfId="0" applyFont="1" applyAlignment="1">
      <alignment horizontal="left" vertical="top"/>
    </xf>
    <xf numFmtId="0" fontId="6" fillId="0" borderId="0" xfId="0" applyFont="1"/>
    <xf numFmtId="0" fontId="6" fillId="3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right" vertical="center"/>
    </xf>
    <xf numFmtId="0" fontId="60" fillId="2" borderId="2" xfId="0" applyFont="1" applyFill="1" applyBorder="1" applyAlignment="1">
      <alignment horizontal="center" vertical="center"/>
    </xf>
    <xf numFmtId="182" fontId="6" fillId="0" borderId="2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164" fontId="14" fillId="4" borderId="0" xfId="28" applyNumberFormat="1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28" fillId="13" borderId="0" xfId="0" applyFont="1" applyFill="1" applyAlignment="1">
      <alignment horizontal="center" vertical="center"/>
    </xf>
    <xf numFmtId="0" fontId="15" fillId="4" borderId="0" xfId="7" applyFont="1" applyAlignment="1" applyProtection="1">
      <alignment horizontal="right" vertical="center"/>
      <protection locked="0"/>
    </xf>
    <xf numFmtId="171" fontId="30" fillId="14" borderId="17" xfId="28" applyNumberFormat="1" applyFont="1" applyFill="1" applyBorder="1" applyAlignment="1">
      <alignment horizontal="center" vertical="center"/>
    </xf>
    <xf numFmtId="171" fontId="30" fillId="14" borderId="0" xfId="28" applyNumberFormat="1" applyFont="1" applyFill="1" applyAlignment="1">
      <alignment horizontal="center" vertical="center"/>
    </xf>
    <xf numFmtId="0" fontId="10" fillId="19" borderId="0" xfId="36" applyFont="1" applyFill="1" applyAlignment="1" applyProtection="1">
      <alignment horizontal="center" vertical="center"/>
      <protection locked="0"/>
    </xf>
    <xf numFmtId="15" fontId="49" fillId="4" borderId="0" xfId="37" applyFont="1" applyAlignment="1" applyProtection="1">
      <alignment horizontal="right" vertical="center"/>
      <protection locked="0"/>
    </xf>
    <xf numFmtId="0" fontId="50" fillId="16" borderId="0" xfId="34" applyFont="1" applyFill="1" applyAlignment="1">
      <alignment horizontal="left" vertical="top"/>
    </xf>
    <xf numFmtId="0" fontId="16" fillId="4" borderId="0" xfId="34" applyFont="1" applyAlignment="1">
      <alignment horizontal="left"/>
    </xf>
    <xf numFmtId="0" fontId="12" fillId="4" borderId="14" xfId="39" applyFont="1" applyBorder="1" applyAlignment="1">
      <alignment horizontal="center" vertical="center"/>
    </xf>
    <xf numFmtId="0" fontId="12" fillId="4" borderId="0" xfId="39" applyFont="1" applyAlignment="1">
      <alignment horizontal="center" vertical="center"/>
    </xf>
    <xf numFmtId="10" fontId="34" fillId="4" borderId="14" xfId="15" applyNumberFormat="1" applyFont="1" applyBorder="1" applyAlignment="1">
      <alignment horizontal="center" vertical="center"/>
    </xf>
    <xf numFmtId="10" fontId="34" fillId="4" borderId="0" xfId="15" applyNumberFormat="1" applyFont="1" applyBorder="1" applyAlignment="1">
      <alignment horizontal="center" vertical="center"/>
    </xf>
    <xf numFmtId="10" fontId="51" fillId="16" borderId="30" xfId="15" applyNumberFormat="1" applyFont="1" applyFill="1" applyBorder="1" applyAlignment="1">
      <alignment horizontal="center" vertical="center"/>
    </xf>
    <xf numFmtId="0" fontId="34" fillId="4" borderId="0" xfId="29" applyFont="1" applyAlignment="1">
      <alignment horizontal="center" vertical="center"/>
    </xf>
    <xf numFmtId="0" fontId="12" fillId="7" borderId="14" xfId="39" applyFont="1" applyFill="1" applyBorder="1" applyAlignment="1">
      <alignment horizontal="center" vertical="center"/>
    </xf>
    <xf numFmtId="0" fontId="12" fillId="7" borderId="0" xfId="39" applyFont="1" applyFill="1" applyAlignment="1">
      <alignment horizontal="center" vertical="center"/>
    </xf>
    <xf numFmtId="10" fontId="34" fillId="7" borderId="14" xfId="15" applyNumberFormat="1" applyFont="1" applyFill="1" applyBorder="1" applyAlignment="1">
      <alignment horizontal="center" vertical="center"/>
    </xf>
    <xf numFmtId="10" fontId="34" fillId="7" borderId="0" xfId="15" applyNumberFormat="1" applyFont="1" applyFill="1" applyBorder="1" applyAlignment="1">
      <alignment horizontal="center" vertical="center"/>
    </xf>
    <xf numFmtId="0" fontId="34" fillId="8" borderId="0" xfId="29" applyFont="1" applyFill="1" applyAlignment="1">
      <alignment horizontal="center" vertical="center"/>
    </xf>
    <xf numFmtId="0" fontId="35" fillId="8" borderId="0" xfId="29" applyFont="1" applyFill="1" applyAlignment="1">
      <alignment horizontal="center" vertical="center"/>
    </xf>
    <xf numFmtId="0" fontId="35" fillId="8" borderId="12" xfId="29" applyFont="1" applyFill="1" applyBorder="1" applyAlignment="1">
      <alignment horizontal="center" vertical="center"/>
    </xf>
    <xf numFmtId="0" fontId="35" fillId="8" borderId="14" xfId="29" applyFont="1" applyFill="1" applyBorder="1" applyAlignment="1">
      <alignment horizontal="center" vertical="center"/>
    </xf>
    <xf numFmtId="0" fontId="51" fillId="16" borderId="29" xfId="29" applyFont="1" applyFill="1" applyBorder="1" applyAlignment="1">
      <alignment horizontal="center" vertical="center"/>
    </xf>
    <xf numFmtId="0" fontId="55" fillId="4" borderId="14" xfId="39" applyFont="1" applyBorder="1" applyAlignment="1">
      <alignment horizontal="center" vertical="center"/>
    </xf>
    <xf numFmtId="0" fontId="55" fillId="4" borderId="0" xfId="39" applyFont="1" applyAlignment="1">
      <alignment horizontal="center" vertical="center"/>
    </xf>
    <xf numFmtId="10" fontId="54" fillId="4" borderId="14" xfId="15" applyNumberFormat="1" applyFont="1" applyBorder="1" applyAlignment="1">
      <alignment horizontal="center" vertical="center"/>
    </xf>
    <xf numFmtId="10" fontId="54" fillId="4" borderId="0" xfId="15" applyNumberFormat="1" applyFont="1" applyBorder="1" applyAlignment="1">
      <alignment horizontal="center" vertical="center"/>
    </xf>
    <xf numFmtId="2" fontId="51" fillId="16" borderId="30" xfId="29" applyNumberFormat="1" applyFont="1" applyFill="1" applyBorder="1" applyAlignment="1">
      <alignment horizontal="center" vertical="center"/>
    </xf>
    <xf numFmtId="0" fontId="51" fillId="16" borderId="30" xfId="29" applyFont="1" applyFill="1" applyBorder="1" applyAlignment="1">
      <alignment horizontal="center" vertical="center"/>
    </xf>
    <xf numFmtId="0" fontId="34" fillId="7" borderId="0" xfId="29" applyFont="1" applyFill="1" applyAlignment="1">
      <alignment horizontal="center" vertical="center"/>
    </xf>
    <xf numFmtId="10" fontId="54" fillId="4" borderId="14" xfId="15" applyNumberFormat="1" applyFont="1" applyFill="1" applyBorder="1" applyAlignment="1">
      <alignment horizontal="center" vertical="center"/>
    </xf>
    <xf numFmtId="10" fontId="54" fillId="4" borderId="0" xfId="15" applyNumberFormat="1" applyFont="1" applyFill="1" applyBorder="1" applyAlignment="1">
      <alignment horizontal="center" vertical="center"/>
    </xf>
    <xf numFmtId="10" fontId="34" fillId="7" borderId="31" xfId="15" applyNumberFormat="1" applyFont="1" applyFill="1" applyBorder="1" applyAlignment="1">
      <alignment horizontal="center" vertical="center"/>
    </xf>
    <xf numFmtId="10" fontId="34" fillId="7" borderId="29" xfId="15" applyNumberFormat="1" applyFont="1" applyFill="1" applyBorder="1" applyAlignment="1">
      <alignment horizontal="center" vertical="center"/>
    </xf>
    <xf numFmtId="0" fontId="35" fillId="8" borderId="29" xfId="29" applyFont="1" applyFill="1" applyBorder="1" applyAlignment="1">
      <alignment horizontal="center" vertical="center"/>
    </xf>
    <xf numFmtId="0" fontId="35" fillId="8" borderId="32" xfId="29" applyFont="1" applyFill="1" applyBorder="1" applyAlignment="1">
      <alignment horizontal="center" vertical="center"/>
    </xf>
    <xf numFmtId="10" fontId="51" fillId="16" borderId="30" xfId="29" applyNumberFormat="1" applyFont="1" applyFill="1" applyBorder="1" applyAlignment="1">
      <alignment horizontal="center" vertical="center"/>
    </xf>
    <xf numFmtId="179" fontId="54" fillId="8" borderId="0" xfId="29" applyNumberFormat="1" applyFont="1" applyFill="1" applyAlignment="1">
      <alignment horizontal="center" vertical="center"/>
    </xf>
    <xf numFmtId="172" fontId="54" fillId="8" borderId="0" xfId="4" applyNumberFormat="1" applyFont="1" applyFill="1" applyAlignment="1">
      <alignment horizontal="center" vertical="center"/>
    </xf>
    <xf numFmtId="10" fontId="34" fillId="7" borderId="14" xfId="29" applyNumberFormat="1" applyFont="1" applyFill="1" applyBorder="1" applyAlignment="1">
      <alignment horizontal="center" vertical="center"/>
    </xf>
    <xf numFmtId="10" fontId="34" fillId="7" borderId="0" xfId="29" applyNumberFormat="1" applyFont="1" applyFill="1" applyAlignment="1">
      <alignment horizontal="center" vertical="center"/>
    </xf>
    <xf numFmtId="0" fontId="54" fillId="4" borderId="33" xfId="29" applyFont="1" applyBorder="1" applyAlignment="1">
      <alignment horizontal="left" vertical="center"/>
    </xf>
    <xf numFmtId="10" fontId="54" fillId="4" borderId="33" xfId="15" applyNumberFormat="1" applyFont="1" applyFill="1" applyBorder="1" applyAlignment="1">
      <alignment horizontal="center" vertical="center"/>
    </xf>
    <xf numFmtId="0" fontId="35" fillId="4" borderId="33" xfId="29" applyFont="1" applyBorder="1" applyAlignment="1">
      <alignment horizontal="right" vertical="center"/>
    </xf>
    <xf numFmtId="10" fontId="51" fillId="16" borderId="34" xfId="29" applyNumberFormat="1" applyFont="1" applyFill="1" applyBorder="1" applyAlignment="1">
      <alignment horizontal="center" vertical="center"/>
    </xf>
    <xf numFmtId="2" fontId="34" fillId="4" borderId="14" xfId="29" applyNumberFormat="1" applyFont="1" applyBorder="1" applyAlignment="1">
      <alignment horizontal="center" vertical="center"/>
    </xf>
    <xf numFmtId="2" fontId="34" fillId="4" borderId="0" xfId="29" applyNumberFormat="1" applyFont="1" applyAlignment="1">
      <alignment horizontal="center" vertical="center"/>
    </xf>
    <xf numFmtId="2" fontId="34" fillId="4" borderId="12" xfId="29" applyNumberFormat="1" applyFont="1" applyBorder="1" applyAlignment="1">
      <alignment horizontal="center" vertical="center"/>
    </xf>
    <xf numFmtId="10" fontId="34" fillId="4" borderId="14" xfId="29" applyNumberFormat="1" applyFont="1" applyBorder="1" applyAlignment="1">
      <alignment horizontal="center" vertical="center"/>
    </xf>
    <xf numFmtId="10" fontId="34" fillId="4" borderId="0" xfId="29" applyNumberFormat="1" applyFont="1" applyAlignment="1">
      <alignment horizontal="center" vertical="center"/>
    </xf>
    <xf numFmtId="0" fontId="54" fillId="7" borderId="0" xfId="29" applyFont="1" applyFill="1" applyAlignment="1">
      <alignment horizontal="left" vertical="center"/>
    </xf>
    <xf numFmtId="10" fontId="54" fillId="7" borderId="0" xfId="15" applyNumberFormat="1" applyFont="1" applyFill="1" applyBorder="1" applyAlignment="1">
      <alignment horizontal="center" vertical="center"/>
    </xf>
    <xf numFmtId="0" fontId="34" fillId="7" borderId="12" xfId="29" applyFont="1" applyFill="1" applyBorder="1" applyAlignment="1">
      <alignment horizontal="center" vertical="center"/>
    </xf>
    <xf numFmtId="9" fontId="34" fillId="7" borderId="14" xfId="15" applyFont="1" applyFill="1" applyBorder="1" applyAlignment="1">
      <alignment horizontal="center" vertical="center"/>
    </xf>
    <xf numFmtId="9" fontId="34" fillId="7" borderId="0" xfId="15" applyFont="1" applyFill="1" applyBorder="1" applyAlignment="1">
      <alignment horizontal="center" vertical="center"/>
    </xf>
    <xf numFmtId="9" fontId="34" fillId="7" borderId="12" xfId="15" applyFont="1" applyFill="1" applyBorder="1" applyAlignment="1">
      <alignment horizontal="center" vertical="center"/>
    </xf>
    <xf numFmtId="2" fontId="34" fillId="7" borderId="14" xfId="29" applyNumberFormat="1" applyFont="1" applyFill="1" applyBorder="1" applyAlignment="1">
      <alignment horizontal="center" vertical="center"/>
    </xf>
    <xf numFmtId="2" fontId="34" fillId="7" borderId="0" xfId="29" applyNumberFormat="1" applyFont="1" applyFill="1" applyAlignment="1">
      <alignment horizontal="center" vertical="center"/>
    </xf>
    <xf numFmtId="2" fontId="34" fillId="7" borderId="12" xfId="29" applyNumberFormat="1" applyFont="1" applyFill="1" applyBorder="1" applyAlignment="1">
      <alignment horizontal="center" vertical="center"/>
    </xf>
    <xf numFmtId="0" fontId="54" fillId="4" borderId="0" xfId="29" applyFont="1" applyAlignment="1">
      <alignment horizontal="left" vertical="center"/>
    </xf>
    <xf numFmtId="0" fontId="34" fillId="4" borderId="12" xfId="29" applyFont="1" applyBorder="1" applyAlignment="1">
      <alignment horizontal="center" vertical="center"/>
    </xf>
    <xf numFmtId="9" fontId="34" fillId="4" borderId="14" xfId="15" applyFont="1" applyFill="1" applyBorder="1" applyAlignment="1">
      <alignment horizontal="center" vertical="center"/>
    </xf>
    <xf numFmtId="9" fontId="34" fillId="4" borderId="0" xfId="15" applyFont="1" applyFill="1" applyBorder="1" applyAlignment="1">
      <alignment horizontal="center" vertical="center"/>
    </xf>
    <xf numFmtId="9" fontId="34" fillId="4" borderId="12" xfId="15" applyFont="1" applyFill="1" applyBorder="1" applyAlignment="1">
      <alignment horizontal="center" vertical="center"/>
    </xf>
    <xf numFmtId="0" fontId="14" fillId="8" borderId="0" xfId="34" applyFont="1" applyFill="1" applyAlignment="1">
      <alignment horizontal="center" vertical="center"/>
    </xf>
    <xf numFmtId="10" fontId="35" fillId="8" borderId="35" xfId="38" applyNumberFormat="1" applyFont="1" applyFill="1" applyBorder="1" applyAlignment="1">
      <alignment horizontal="center" vertical="center"/>
    </xf>
    <xf numFmtId="10" fontId="51" fillId="16" borderId="29" xfId="38" applyNumberFormat="1" applyFont="1" applyFill="1" applyBorder="1" applyAlignment="1">
      <alignment horizontal="center"/>
    </xf>
    <xf numFmtId="10" fontId="35" fillId="8" borderId="13" xfId="38" applyNumberFormat="1" applyFont="1" applyFill="1" applyBorder="1" applyAlignment="1">
      <alignment horizontal="center" vertical="center"/>
    </xf>
    <xf numFmtId="10" fontId="35" fillId="8" borderId="36" xfId="38" applyNumberFormat="1" applyFont="1" applyFill="1" applyBorder="1" applyAlignment="1">
      <alignment horizontal="center" vertical="center"/>
    </xf>
    <xf numFmtId="10" fontId="35" fillId="8" borderId="37" xfId="38" applyNumberFormat="1" applyFont="1" applyFill="1" applyBorder="1" applyAlignment="1">
      <alignment horizontal="center" vertical="center"/>
    </xf>
    <xf numFmtId="10" fontId="35" fillId="8" borderId="38" xfId="38" applyNumberFormat="1" applyFont="1" applyFill="1" applyBorder="1" applyAlignment="1">
      <alignment horizontal="center" vertical="center"/>
    </xf>
    <xf numFmtId="10" fontId="34" fillId="4" borderId="14" xfId="38" applyNumberFormat="1" applyFont="1" applyBorder="1" applyAlignment="1">
      <alignment horizontal="center" vertical="center"/>
    </xf>
    <xf numFmtId="10" fontId="34" fillId="4" borderId="0" xfId="38" applyNumberFormat="1" applyFont="1" applyAlignment="1">
      <alignment horizontal="center" vertical="center"/>
    </xf>
    <xf numFmtId="10" fontId="34" fillId="4" borderId="12" xfId="38" applyNumberFormat="1" applyFont="1" applyBorder="1" applyAlignment="1">
      <alignment horizontal="center" vertical="center"/>
    </xf>
    <xf numFmtId="10" fontId="20" fillId="16" borderId="39" xfId="38" applyNumberFormat="1" applyFont="1" applyFill="1" applyBorder="1" applyAlignment="1">
      <alignment horizontal="center" vertical="center"/>
    </xf>
    <xf numFmtId="10" fontId="20" fillId="16" borderId="30" xfId="38" applyNumberFormat="1" applyFont="1" applyFill="1" applyBorder="1" applyAlignment="1">
      <alignment horizontal="center" vertical="center"/>
    </xf>
    <xf numFmtId="0" fontId="34" fillId="7" borderId="0" xfId="34" applyFont="1" applyFill="1" applyAlignment="1">
      <alignment horizontal="left" vertical="center"/>
    </xf>
    <xf numFmtId="10" fontId="34" fillId="7" borderId="14" xfId="38" applyNumberFormat="1" applyFont="1" applyFill="1" applyBorder="1" applyAlignment="1">
      <alignment horizontal="center" vertical="center"/>
    </xf>
    <xf numFmtId="10" fontId="34" fillId="7" borderId="0" xfId="38" applyNumberFormat="1" applyFont="1" applyFill="1" applyAlignment="1">
      <alignment horizontal="center" vertical="center"/>
    </xf>
    <xf numFmtId="10" fontId="34" fillId="7" borderId="12" xfId="38" applyNumberFormat="1" applyFont="1" applyFill="1" applyBorder="1" applyAlignment="1">
      <alignment horizontal="center" vertical="center"/>
    </xf>
    <xf numFmtId="0" fontId="34" fillId="4" borderId="0" xfId="34" applyFont="1" applyAlignment="1">
      <alignment horizontal="left" vertical="center"/>
    </xf>
    <xf numFmtId="180" fontId="34" fillId="4" borderId="40" xfId="12" applyNumberFormat="1" applyFont="1" applyFill="1" applyBorder="1" applyAlignment="1">
      <alignment horizontal="center" vertical="center"/>
    </xf>
    <xf numFmtId="180" fontId="34" fillId="4" borderId="33" xfId="12" applyNumberFormat="1" applyFont="1" applyFill="1" applyBorder="1" applyAlignment="1">
      <alignment horizontal="center" vertical="center"/>
    </xf>
    <xf numFmtId="180" fontId="34" fillId="4" borderId="41" xfId="12" applyNumberFormat="1" applyFont="1" applyFill="1" applyBorder="1" applyAlignment="1">
      <alignment horizontal="center" vertical="center"/>
    </xf>
    <xf numFmtId="0" fontId="20" fillId="16" borderId="42" xfId="12" applyNumberFormat="1" applyFont="1" applyFill="1" applyBorder="1" applyAlignment="1">
      <alignment horizontal="center" vertical="center"/>
    </xf>
    <xf numFmtId="0" fontId="20" fillId="16" borderId="34" xfId="12" applyNumberFormat="1" applyFont="1" applyFill="1" applyBorder="1" applyAlignment="1">
      <alignment horizontal="center" vertical="center"/>
    </xf>
    <xf numFmtId="0" fontId="34" fillId="4" borderId="33" xfId="34" applyFont="1" applyBorder="1" applyAlignment="1">
      <alignment horizontal="left" vertical="center"/>
    </xf>
    <xf numFmtId="0" fontId="34" fillId="7" borderId="14" xfId="12" applyNumberFormat="1" applyFont="1" applyFill="1" applyBorder="1" applyAlignment="1">
      <alignment horizontal="center" vertical="center"/>
    </xf>
    <xf numFmtId="0" fontId="34" fillId="7" borderId="0" xfId="12" applyNumberFormat="1" applyFont="1" applyFill="1" applyBorder="1" applyAlignment="1">
      <alignment horizontal="center" vertical="center"/>
    </xf>
    <xf numFmtId="0" fontId="34" fillId="7" borderId="12" xfId="12" applyNumberFormat="1" applyFont="1" applyFill="1" applyBorder="1" applyAlignment="1">
      <alignment horizontal="center" vertical="center"/>
    </xf>
    <xf numFmtId="0" fontId="20" fillId="16" borderId="36" xfId="12" applyNumberFormat="1" applyFont="1" applyFill="1" applyBorder="1" applyAlignment="1">
      <alignment horizontal="center" vertical="center"/>
    </xf>
    <xf numFmtId="0" fontId="20" fillId="16" borderId="37" xfId="12" applyNumberFormat="1" applyFont="1" applyFill="1" applyBorder="1" applyAlignment="1">
      <alignment horizontal="center" vertical="center"/>
    </xf>
    <xf numFmtId="10" fontId="63" fillId="7" borderId="0" xfId="15" applyNumberFormat="1" applyFont="1" applyFill="1" applyBorder="1" applyAlignment="1">
      <alignment vertical="center"/>
    </xf>
  </cellXfs>
  <cellStyles count="42">
    <cellStyle name="Hipervínculo" xfId="1" builtinId="8"/>
    <cellStyle name="Hipervínculo 2" xfId="19"/>
    <cellStyle name="Hipervínculo 3" xfId="20"/>
    <cellStyle name="Hipervínculo 5 2" xfId="13"/>
    <cellStyle name="Millares" xfId="25" builtinId="3"/>
    <cellStyle name="Millares 12" xfId="30"/>
    <cellStyle name="Millares 2" xfId="12"/>
    <cellStyle name="Millares 2 4" xfId="31"/>
    <cellStyle name="Millares 4 4" xfId="40"/>
    <cellStyle name="Moneda" xfId="26" builtinId="4"/>
    <cellStyle name="Moneda 2" xfId="32"/>
    <cellStyle name="Moneda 3 5" xfId="41"/>
    <cellStyle name="Normal" xfId="0" builtinId="0"/>
    <cellStyle name="Normal 10 2" xfId="7"/>
    <cellStyle name="Normal 13" xfId="3"/>
    <cellStyle name="Normal 14" xfId="28"/>
    <cellStyle name="Normal 14 2 2" xfId="33"/>
    <cellStyle name="Normal 19" xfId="17"/>
    <cellStyle name="Normal 2" xfId="8"/>
    <cellStyle name="Normal 2 2" xfId="2"/>
    <cellStyle name="Normal 2 2 2" xfId="29"/>
    <cellStyle name="Normal 2 3 2" xfId="38"/>
    <cellStyle name="Normal 2 4" xfId="16"/>
    <cellStyle name="Normal 22" xfId="11"/>
    <cellStyle name="Normal 22 2" xfId="21"/>
    <cellStyle name="Normal 28" xfId="6"/>
    <cellStyle name="Normal 3" xfId="9"/>
    <cellStyle name="Normal 35" xfId="27"/>
    <cellStyle name="Normal 4" xfId="10"/>
    <cellStyle name="Normal 4 2 3" xfId="36"/>
    <cellStyle name="Normal 5" xfId="24"/>
    <cellStyle name="Normal 6" xfId="34"/>
    <cellStyle name="Normal_Avaluo SHF Nuevo" xfId="37"/>
    <cellStyle name="Normal_formato base de hotel 2" xfId="4"/>
    <cellStyle name="Normal_nuevo" xfId="35"/>
    <cellStyle name="Normal_OBSOLESCENCIA ECONOMICA" xfId="39"/>
    <cellStyle name="Porcentaje" xfId="23" builtinId="5"/>
    <cellStyle name="Porcentaje 2" xfId="15"/>
    <cellStyle name="Porcentaje 6" xfId="18"/>
    <cellStyle name="Porcentual 3" xfId="5"/>
    <cellStyle name="Porcentual 4" xfId="22"/>
    <cellStyle name="Porcentual 4 3" xfId="14"/>
  </cellStyles>
  <dxfs count="2"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3E5D58"/>
      <color rgb="FFB3FFD0"/>
      <color rgb="FF00D04F"/>
      <color rgb="FF009038"/>
      <color rgb="FF85FFB3"/>
      <color rgb="FF00501E"/>
      <color rgb="FF007336"/>
      <color rgb="FF05B38E"/>
      <color rgb="FF154734"/>
      <color rgb="FF0068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8219816272965874E-2"/>
          <c:y val="0.13647838521694461"/>
          <c:w val="0.87122462817147861"/>
          <c:h val="0.67175671566928186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CETES!$A$19:$A$1374</c:f>
              <c:numCache>
                <c:formatCode>m/d/yyyy</c:formatCode>
                <c:ptCount val="1356"/>
                <c:pt idx="0">
                  <c:v>36167</c:v>
                </c:pt>
                <c:pt idx="1">
                  <c:v>36174</c:v>
                </c:pt>
                <c:pt idx="2">
                  <c:v>36181</c:v>
                </c:pt>
                <c:pt idx="3">
                  <c:v>36188</c:v>
                </c:pt>
                <c:pt idx="4">
                  <c:v>36195</c:v>
                </c:pt>
                <c:pt idx="5">
                  <c:v>36202</c:v>
                </c:pt>
                <c:pt idx="6">
                  <c:v>36209</c:v>
                </c:pt>
                <c:pt idx="7">
                  <c:v>36216</c:v>
                </c:pt>
                <c:pt idx="8">
                  <c:v>36223</c:v>
                </c:pt>
                <c:pt idx="9">
                  <c:v>36230</c:v>
                </c:pt>
                <c:pt idx="10">
                  <c:v>36237</c:v>
                </c:pt>
                <c:pt idx="11">
                  <c:v>36244</c:v>
                </c:pt>
                <c:pt idx="12">
                  <c:v>36250</c:v>
                </c:pt>
                <c:pt idx="13">
                  <c:v>36258</c:v>
                </c:pt>
                <c:pt idx="14">
                  <c:v>36265</c:v>
                </c:pt>
                <c:pt idx="15">
                  <c:v>36272</c:v>
                </c:pt>
                <c:pt idx="16">
                  <c:v>36279</c:v>
                </c:pt>
                <c:pt idx="17">
                  <c:v>36286</c:v>
                </c:pt>
                <c:pt idx="18">
                  <c:v>36293</c:v>
                </c:pt>
                <c:pt idx="19">
                  <c:v>36300</c:v>
                </c:pt>
                <c:pt idx="20">
                  <c:v>36307</c:v>
                </c:pt>
                <c:pt idx="21">
                  <c:v>36314</c:v>
                </c:pt>
                <c:pt idx="22">
                  <c:v>36321</c:v>
                </c:pt>
                <c:pt idx="23">
                  <c:v>36328</c:v>
                </c:pt>
                <c:pt idx="24">
                  <c:v>36335</c:v>
                </c:pt>
                <c:pt idx="25">
                  <c:v>36342</c:v>
                </c:pt>
                <c:pt idx="26">
                  <c:v>36349</c:v>
                </c:pt>
                <c:pt idx="27">
                  <c:v>36356</c:v>
                </c:pt>
                <c:pt idx="28">
                  <c:v>36363</c:v>
                </c:pt>
                <c:pt idx="29">
                  <c:v>36370</c:v>
                </c:pt>
                <c:pt idx="30">
                  <c:v>36377</c:v>
                </c:pt>
                <c:pt idx="31">
                  <c:v>36384</c:v>
                </c:pt>
                <c:pt idx="32">
                  <c:v>36391</c:v>
                </c:pt>
                <c:pt idx="33">
                  <c:v>36398</c:v>
                </c:pt>
                <c:pt idx="34">
                  <c:v>36405</c:v>
                </c:pt>
                <c:pt idx="35">
                  <c:v>36412</c:v>
                </c:pt>
                <c:pt idx="36">
                  <c:v>36418</c:v>
                </c:pt>
                <c:pt idx="37">
                  <c:v>36426</c:v>
                </c:pt>
                <c:pt idx="38">
                  <c:v>36433</c:v>
                </c:pt>
                <c:pt idx="39">
                  <c:v>36440</c:v>
                </c:pt>
                <c:pt idx="40">
                  <c:v>36447</c:v>
                </c:pt>
                <c:pt idx="41">
                  <c:v>36454</c:v>
                </c:pt>
                <c:pt idx="42">
                  <c:v>36461</c:v>
                </c:pt>
                <c:pt idx="43">
                  <c:v>36468</c:v>
                </c:pt>
                <c:pt idx="44">
                  <c:v>36475</c:v>
                </c:pt>
                <c:pt idx="45">
                  <c:v>36482</c:v>
                </c:pt>
                <c:pt idx="46">
                  <c:v>36489</c:v>
                </c:pt>
                <c:pt idx="47">
                  <c:v>36496</c:v>
                </c:pt>
                <c:pt idx="48">
                  <c:v>36503</c:v>
                </c:pt>
                <c:pt idx="49">
                  <c:v>36510</c:v>
                </c:pt>
                <c:pt idx="50">
                  <c:v>36517</c:v>
                </c:pt>
                <c:pt idx="51">
                  <c:v>36524</c:v>
                </c:pt>
                <c:pt idx="52">
                  <c:v>36531</c:v>
                </c:pt>
                <c:pt idx="53">
                  <c:v>36538</c:v>
                </c:pt>
                <c:pt idx="54">
                  <c:v>36545</c:v>
                </c:pt>
                <c:pt idx="55">
                  <c:v>36552</c:v>
                </c:pt>
                <c:pt idx="56">
                  <c:v>36559</c:v>
                </c:pt>
                <c:pt idx="57">
                  <c:v>36566</c:v>
                </c:pt>
                <c:pt idx="58">
                  <c:v>36573</c:v>
                </c:pt>
                <c:pt idx="59">
                  <c:v>36580</c:v>
                </c:pt>
                <c:pt idx="60">
                  <c:v>36587</c:v>
                </c:pt>
                <c:pt idx="61">
                  <c:v>36594</c:v>
                </c:pt>
                <c:pt idx="62">
                  <c:v>36601</c:v>
                </c:pt>
                <c:pt idx="63">
                  <c:v>36608</c:v>
                </c:pt>
                <c:pt idx="64">
                  <c:v>36615</c:v>
                </c:pt>
                <c:pt idx="65">
                  <c:v>36622</c:v>
                </c:pt>
                <c:pt idx="66">
                  <c:v>36629</c:v>
                </c:pt>
                <c:pt idx="67">
                  <c:v>36635</c:v>
                </c:pt>
                <c:pt idx="68">
                  <c:v>36643</c:v>
                </c:pt>
                <c:pt idx="69">
                  <c:v>36650</c:v>
                </c:pt>
                <c:pt idx="70">
                  <c:v>36657</c:v>
                </c:pt>
                <c:pt idx="71">
                  <c:v>36664</c:v>
                </c:pt>
                <c:pt idx="72">
                  <c:v>36671</c:v>
                </c:pt>
                <c:pt idx="73">
                  <c:v>36678</c:v>
                </c:pt>
                <c:pt idx="74">
                  <c:v>36685</c:v>
                </c:pt>
                <c:pt idx="75">
                  <c:v>36692</c:v>
                </c:pt>
                <c:pt idx="76">
                  <c:v>36699</c:v>
                </c:pt>
                <c:pt idx="77">
                  <c:v>36706</c:v>
                </c:pt>
                <c:pt idx="78">
                  <c:v>36713</c:v>
                </c:pt>
                <c:pt idx="79">
                  <c:v>36720</c:v>
                </c:pt>
                <c:pt idx="80">
                  <c:v>36727</c:v>
                </c:pt>
                <c:pt idx="81">
                  <c:v>36734</c:v>
                </c:pt>
                <c:pt idx="82">
                  <c:v>36741</c:v>
                </c:pt>
                <c:pt idx="83">
                  <c:v>36748</c:v>
                </c:pt>
                <c:pt idx="84">
                  <c:v>36755</c:v>
                </c:pt>
                <c:pt idx="85">
                  <c:v>36762</c:v>
                </c:pt>
                <c:pt idx="86">
                  <c:v>36769</c:v>
                </c:pt>
                <c:pt idx="87">
                  <c:v>36776</c:v>
                </c:pt>
                <c:pt idx="88">
                  <c:v>36783</c:v>
                </c:pt>
                <c:pt idx="89">
                  <c:v>36790</c:v>
                </c:pt>
                <c:pt idx="90">
                  <c:v>36797</c:v>
                </c:pt>
                <c:pt idx="91">
                  <c:v>36804</c:v>
                </c:pt>
                <c:pt idx="92">
                  <c:v>36811</c:v>
                </c:pt>
                <c:pt idx="93">
                  <c:v>36818</c:v>
                </c:pt>
                <c:pt idx="94">
                  <c:v>36825</c:v>
                </c:pt>
                <c:pt idx="95">
                  <c:v>36831</c:v>
                </c:pt>
                <c:pt idx="96">
                  <c:v>36839</c:v>
                </c:pt>
                <c:pt idx="97">
                  <c:v>36846</c:v>
                </c:pt>
                <c:pt idx="98">
                  <c:v>36853</c:v>
                </c:pt>
                <c:pt idx="99">
                  <c:v>36860</c:v>
                </c:pt>
                <c:pt idx="100">
                  <c:v>36867</c:v>
                </c:pt>
                <c:pt idx="101">
                  <c:v>36874</c:v>
                </c:pt>
                <c:pt idx="102">
                  <c:v>36881</c:v>
                </c:pt>
                <c:pt idx="103">
                  <c:v>36888</c:v>
                </c:pt>
                <c:pt idx="104">
                  <c:v>36895</c:v>
                </c:pt>
                <c:pt idx="105">
                  <c:v>36902</c:v>
                </c:pt>
                <c:pt idx="106">
                  <c:v>36909</c:v>
                </c:pt>
                <c:pt idx="107">
                  <c:v>36916</c:v>
                </c:pt>
                <c:pt idx="108">
                  <c:v>36923</c:v>
                </c:pt>
                <c:pt idx="109">
                  <c:v>36930</c:v>
                </c:pt>
                <c:pt idx="110">
                  <c:v>36937</c:v>
                </c:pt>
                <c:pt idx="111">
                  <c:v>36944</c:v>
                </c:pt>
                <c:pt idx="112">
                  <c:v>36951</c:v>
                </c:pt>
                <c:pt idx="113">
                  <c:v>36958</c:v>
                </c:pt>
                <c:pt idx="114">
                  <c:v>36965</c:v>
                </c:pt>
                <c:pt idx="115">
                  <c:v>36972</c:v>
                </c:pt>
                <c:pt idx="116">
                  <c:v>36979</c:v>
                </c:pt>
                <c:pt idx="117">
                  <c:v>36986</c:v>
                </c:pt>
                <c:pt idx="118">
                  <c:v>36992</c:v>
                </c:pt>
                <c:pt idx="119">
                  <c:v>37000</c:v>
                </c:pt>
                <c:pt idx="120">
                  <c:v>37007</c:v>
                </c:pt>
                <c:pt idx="121">
                  <c:v>37014</c:v>
                </c:pt>
                <c:pt idx="122">
                  <c:v>37021</c:v>
                </c:pt>
                <c:pt idx="123">
                  <c:v>37028</c:v>
                </c:pt>
                <c:pt idx="124">
                  <c:v>37035</c:v>
                </c:pt>
                <c:pt idx="125">
                  <c:v>37042</c:v>
                </c:pt>
                <c:pt idx="126">
                  <c:v>37049</c:v>
                </c:pt>
                <c:pt idx="127">
                  <c:v>37056</c:v>
                </c:pt>
                <c:pt idx="128">
                  <c:v>37063</c:v>
                </c:pt>
                <c:pt idx="129">
                  <c:v>37070</c:v>
                </c:pt>
                <c:pt idx="130">
                  <c:v>37077</c:v>
                </c:pt>
                <c:pt idx="131">
                  <c:v>37084</c:v>
                </c:pt>
                <c:pt idx="132">
                  <c:v>37091</c:v>
                </c:pt>
                <c:pt idx="133">
                  <c:v>37098</c:v>
                </c:pt>
                <c:pt idx="134">
                  <c:v>37105</c:v>
                </c:pt>
                <c:pt idx="135">
                  <c:v>37112</c:v>
                </c:pt>
                <c:pt idx="136">
                  <c:v>37119</c:v>
                </c:pt>
                <c:pt idx="137">
                  <c:v>37126</c:v>
                </c:pt>
                <c:pt idx="138">
                  <c:v>37133</c:v>
                </c:pt>
                <c:pt idx="139">
                  <c:v>37140</c:v>
                </c:pt>
                <c:pt idx="140">
                  <c:v>37147</c:v>
                </c:pt>
                <c:pt idx="141">
                  <c:v>37154</c:v>
                </c:pt>
                <c:pt idx="142">
                  <c:v>37161</c:v>
                </c:pt>
                <c:pt idx="143">
                  <c:v>37168</c:v>
                </c:pt>
                <c:pt idx="144">
                  <c:v>37175</c:v>
                </c:pt>
                <c:pt idx="145">
                  <c:v>37182</c:v>
                </c:pt>
                <c:pt idx="146">
                  <c:v>37189</c:v>
                </c:pt>
                <c:pt idx="147">
                  <c:v>37196</c:v>
                </c:pt>
                <c:pt idx="148">
                  <c:v>37203</c:v>
                </c:pt>
                <c:pt idx="149">
                  <c:v>37210</c:v>
                </c:pt>
                <c:pt idx="150">
                  <c:v>37217</c:v>
                </c:pt>
                <c:pt idx="151">
                  <c:v>37224</c:v>
                </c:pt>
                <c:pt idx="152">
                  <c:v>37231</c:v>
                </c:pt>
                <c:pt idx="153">
                  <c:v>37238</c:v>
                </c:pt>
                <c:pt idx="154">
                  <c:v>37245</c:v>
                </c:pt>
                <c:pt idx="155">
                  <c:v>37252</c:v>
                </c:pt>
                <c:pt idx="156">
                  <c:v>37259</c:v>
                </c:pt>
                <c:pt idx="157">
                  <c:v>37266</c:v>
                </c:pt>
                <c:pt idx="158">
                  <c:v>37273</c:v>
                </c:pt>
                <c:pt idx="159">
                  <c:v>37280</c:v>
                </c:pt>
                <c:pt idx="160">
                  <c:v>37287</c:v>
                </c:pt>
                <c:pt idx="161">
                  <c:v>37294</c:v>
                </c:pt>
                <c:pt idx="162">
                  <c:v>37301</c:v>
                </c:pt>
                <c:pt idx="163">
                  <c:v>37308</c:v>
                </c:pt>
                <c:pt idx="164">
                  <c:v>37315</c:v>
                </c:pt>
                <c:pt idx="165">
                  <c:v>37322</c:v>
                </c:pt>
                <c:pt idx="166">
                  <c:v>37329</c:v>
                </c:pt>
                <c:pt idx="167">
                  <c:v>37335</c:v>
                </c:pt>
                <c:pt idx="168">
                  <c:v>37342</c:v>
                </c:pt>
                <c:pt idx="169">
                  <c:v>37350</c:v>
                </c:pt>
                <c:pt idx="170">
                  <c:v>37357</c:v>
                </c:pt>
                <c:pt idx="171">
                  <c:v>37364</c:v>
                </c:pt>
                <c:pt idx="172">
                  <c:v>37371</c:v>
                </c:pt>
                <c:pt idx="173">
                  <c:v>37378</c:v>
                </c:pt>
                <c:pt idx="174">
                  <c:v>37385</c:v>
                </c:pt>
                <c:pt idx="175">
                  <c:v>37392</c:v>
                </c:pt>
                <c:pt idx="176">
                  <c:v>37399</c:v>
                </c:pt>
                <c:pt idx="177">
                  <c:v>37406</c:v>
                </c:pt>
                <c:pt idx="178">
                  <c:v>37413</c:v>
                </c:pt>
                <c:pt idx="179">
                  <c:v>37420</c:v>
                </c:pt>
                <c:pt idx="180">
                  <c:v>37427</c:v>
                </c:pt>
                <c:pt idx="181">
                  <c:v>37434</c:v>
                </c:pt>
                <c:pt idx="182">
                  <c:v>37441</c:v>
                </c:pt>
                <c:pt idx="183">
                  <c:v>37448</c:v>
                </c:pt>
                <c:pt idx="184">
                  <c:v>37455</c:v>
                </c:pt>
                <c:pt idx="185">
                  <c:v>37462</c:v>
                </c:pt>
                <c:pt idx="186">
                  <c:v>37469</c:v>
                </c:pt>
                <c:pt idx="187">
                  <c:v>37476</c:v>
                </c:pt>
                <c:pt idx="188">
                  <c:v>37483</c:v>
                </c:pt>
                <c:pt idx="189">
                  <c:v>37490</c:v>
                </c:pt>
                <c:pt idx="190">
                  <c:v>37497</c:v>
                </c:pt>
                <c:pt idx="191">
                  <c:v>37504</c:v>
                </c:pt>
                <c:pt idx="192">
                  <c:v>37511</c:v>
                </c:pt>
                <c:pt idx="193">
                  <c:v>37518</c:v>
                </c:pt>
                <c:pt idx="194">
                  <c:v>37525</c:v>
                </c:pt>
                <c:pt idx="195">
                  <c:v>37532</c:v>
                </c:pt>
                <c:pt idx="196">
                  <c:v>37539</c:v>
                </c:pt>
                <c:pt idx="197">
                  <c:v>37546</c:v>
                </c:pt>
                <c:pt idx="198">
                  <c:v>37553</c:v>
                </c:pt>
                <c:pt idx="199">
                  <c:v>37560</c:v>
                </c:pt>
                <c:pt idx="200">
                  <c:v>37567</c:v>
                </c:pt>
                <c:pt idx="201">
                  <c:v>37574</c:v>
                </c:pt>
                <c:pt idx="202">
                  <c:v>37581</c:v>
                </c:pt>
                <c:pt idx="203">
                  <c:v>37588</c:v>
                </c:pt>
                <c:pt idx="204">
                  <c:v>37595</c:v>
                </c:pt>
                <c:pt idx="205">
                  <c:v>37601</c:v>
                </c:pt>
                <c:pt idx="206">
                  <c:v>37609</c:v>
                </c:pt>
                <c:pt idx="207">
                  <c:v>37616</c:v>
                </c:pt>
                <c:pt idx="208">
                  <c:v>37623</c:v>
                </c:pt>
                <c:pt idx="209">
                  <c:v>37630</c:v>
                </c:pt>
                <c:pt idx="210">
                  <c:v>37637</c:v>
                </c:pt>
                <c:pt idx="211">
                  <c:v>37644</c:v>
                </c:pt>
                <c:pt idx="212">
                  <c:v>37651</c:v>
                </c:pt>
                <c:pt idx="213">
                  <c:v>37658</c:v>
                </c:pt>
                <c:pt idx="214">
                  <c:v>37665</c:v>
                </c:pt>
                <c:pt idx="215">
                  <c:v>37672</c:v>
                </c:pt>
                <c:pt idx="216">
                  <c:v>37679</c:v>
                </c:pt>
                <c:pt idx="217">
                  <c:v>37686</c:v>
                </c:pt>
                <c:pt idx="218">
                  <c:v>37693</c:v>
                </c:pt>
                <c:pt idx="219">
                  <c:v>37700</c:v>
                </c:pt>
                <c:pt idx="220">
                  <c:v>37707</c:v>
                </c:pt>
                <c:pt idx="221">
                  <c:v>37714</c:v>
                </c:pt>
                <c:pt idx="222">
                  <c:v>37721</c:v>
                </c:pt>
                <c:pt idx="223">
                  <c:v>37727</c:v>
                </c:pt>
                <c:pt idx="224">
                  <c:v>37735</c:v>
                </c:pt>
                <c:pt idx="225">
                  <c:v>37741</c:v>
                </c:pt>
                <c:pt idx="226">
                  <c:v>37749</c:v>
                </c:pt>
                <c:pt idx="227">
                  <c:v>37756</c:v>
                </c:pt>
                <c:pt idx="228">
                  <c:v>37763</c:v>
                </c:pt>
                <c:pt idx="229">
                  <c:v>37770</c:v>
                </c:pt>
                <c:pt idx="230">
                  <c:v>37777</c:v>
                </c:pt>
                <c:pt idx="231">
                  <c:v>37784</c:v>
                </c:pt>
                <c:pt idx="232">
                  <c:v>37791</c:v>
                </c:pt>
                <c:pt idx="233">
                  <c:v>37798</c:v>
                </c:pt>
                <c:pt idx="234">
                  <c:v>37805</c:v>
                </c:pt>
                <c:pt idx="235">
                  <c:v>37812</c:v>
                </c:pt>
                <c:pt idx="236">
                  <c:v>37819</c:v>
                </c:pt>
                <c:pt idx="237">
                  <c:v>37826</c:v>
                </c:pt>
                <c:pt idx="238">
                  <c:v>37833</c:v>
                </c:pt>
                <c:pt idx="239">
                  <c:v>37840</c:v>
                </c:pt>
                <c:pt idx="240">
                  <c:v>37847</c:v>
                </c:pt>
                <c:pt idx="241">
                  <c:v>37854</c:v>
                </c:pt>
                <c:pt idx="242">
                  <c:v>37861</c:v>
                </c:pt>
                <c:pt idx="243">
                  <c:v>37868</c:v>
                </c:pt>
                <c:pt idx="244">
                  <c:v>37875</c:v>
                </c:pt>
                <c:pt idx="245">
                  <c:v>37882</c:v>
                </c:pt>
                <c:pt idx="246">
                  <c:v>37889</c:v>
                </c:pt>
                <c:pt idx="247">
                  <c:v>37896</c:v>
                </c:pt>
                <c:pt idx="248">
                  <c:v>37903</c:v>
                </c:pt>
                <c:pt idx="249">
                  <c:v>37910</c:v>
                </c:pt>
                <c:pt idx="250">
                  <c:v>37917</c:v>
                </c:pt>
                <c:pt idx="251">
                  <c:v>37924</c:v>
                </c:pt>
                <c:pt idx="252">
                  <c:v>37931</c:v>
                </c:pt>
                <c:pt idx="253">
                  <c:v>37938</c:v>
                </c:pt>
                <c:pt idx="254">
                  <c:v>37944</c:v>
                </c:pt>
                <c:pt idx="255">
                  <c:v>37952</c:v>
                </c:pt>
                <c:pt idx="256">
                  <c:v>37959</c:v>
                </c:pt>
                <c:pt idx="257">
                  <c:v>37966</c:v>
                </c:pt>
                <c:pt idx="258">
                  <c:v>37973</c:v>
                </c:pt>
                <c:pt idx="259">
                  <c:v>37979</c:v>
                </c:pt>
                <c:pt idx="260">
                  <c:v>37986</c:v>
                </c:pt>
                <c:pt idx="261">
                  <c:v>37994</c:v>
                </c:pt>
                <c:pt idx="262">
                  <c:v>38001</c:v>
                </c:pt>
                <c:pt idx="263">
                  <c:v>38008</c:v>
                </c:pt>
                <c:pt idx="264">
                  <c:v>38015</c:v>
                </c:pt>
                <c:pt idx="265">
                  <c:v>38021</c:v>
                </c:pt>
                <c:pt idx="266">
                  <c:v>38029</c:v>
                </c:pt>
                <c:pt idx="267">
                  <c:v>38036</c:v>
                </c:pt>
                <c:pt idx="268">
                  <c:v>38043</c:v>
                </c:pt>
                <c:pt idx="269">
                  <c:v>38050</c:v>
                </c:pt>
                <c:pt idx="270">
                  <c:v>38057</c:v>
                </c:pt>
                <c:pt idx="271">
                  <c:v>38064</c:v>
                </c:pt>
                <c:pt idx="272">
                  <c:v>38071</c:v>
                </c:pt>
                <c:pt idx="273">
                  <c:v>38078</c:v>
                </c:pt>
                <c:pt idx="274">
                  <c:v>38084</c:v>
                </c:pt>
                <c:pt idx="275">
                  <c:v>38092</c:v>
                </c:pt>
                <c:pt idx="276">
                  <c:v>38099</c:v>
                </c:pt>
                <c:pt idx="277">
                  <c:v>38106</c:v>
                </c:pt>
                <c:pt idx="278">
                  <c:v>38113</c:v>
                </c:pt>
                <c:pt idx="279">
                  <c:v>38120</c:v>
                </c:pt>
                <c:pt idx="280">
                  <c:v>38127</c:v>
                </c:pt>
                <c:pt idx="281">
                  <c:v>38134</c:v>
                </c:pt>
                <c:pt idx="282">
                  <c:v>38141</c:v>
                </c:pt>
                <c:pt idx="283">
                  <c:v>38148</c:v>
                </c:pt>
                <c:pt idx="284">
                  <c:v>38155</c:v>
                </c:pt>
                <c:pt idx="285">
                  <c:v>38162</c:v>
                </c:pt>
                <c:pt idx="286">
                  <c:v>38169</c:v>
                </c:pt>
                <c:pt idx="287">
                  <c:v>38176</c:v>
                </c:pt>
                <c:pt idx="288">
                  <c:v>38183</c:v>
                </c:pt>
                <c:pt idx="289">
                  <c:v>38190</c:v>
                </c:pt>
                <c:pt idx="290">
                  <c:v>38197</c:v>
                </c:pt>
                <c:pt idx="291">
                  <c:v>38204</c:v>
                </c:pt>
                <c:pt idx="292">
                  <c:v>38211</c:v>
                </c:pt>
                <c:pt idx="293">
                  <c:v>38218</c:v>
                </c:pt>
                <c:pt idx="294">
                  <c:v>38225</c:v>
                </c:pt>
                <c:pt idx="295">
                  <c:v>38232</c:v>
                </c:pt>
                <c:pt idx="296">
                  <c:v>38239</c:v>
                </c:pt>
                <c:pt idx="297">
                  <c:v>38245</c:v>
                </c:pt>
                <c:pt idx="298">
                  <c:v>38253</c:v>
                </c:pt>
                <c:pt idx="299">
                  <c:v>38260</c:v>
                </c:pt>
                <c:pt idx="300">
                  <c:v>38267</c:v>
                </c:pt>
                <c:pt idx="301">
                  <c:v>38274</c:v>
                </c:pt>
                <c:pt idx="302">
                  <c:v>38281</c:v>
                </c:pt>
                <c:pt idx="303">
                  <c:v>38288</c:v>
                </c:pt>
                <c:pt idx="304">
                  <c:v>38295</c:v>
                </c:pt>
                <c:pt idx="305">
                  <c:v>38302</c:v>
                </c:pt>
                <c:pt idx="306">
                  <c:v>38309</c:v>
                </c:pt>
                <c:pt idx="307">
                  <c:v>38316</c:v>
                </c:pt>
                <c:pt idx="308">
                  <c:v>38323</c:v>
                </c:pt>
                <c:pt idx="309">
                  <c:v>38330</c:v>
                </c:pt>
                <c:pt idx="310">
                  <c:v>38337</c:v>
                </c:pt>
                <c:pt idx="311">
                  <c:v>38344</c:v>
                </c:pt>
                <c:pt idx="312">
                  <c:v>38351</c:v>
                </c:pt>
                <c:pt idx="313">
                  <c:v>38358</c:v>
                </c:pt>
                <c:pt idx="314">
                  <c:v>38365</c:v>
                </c:pt>
                <c:pt idx="315">
                  <c:v>38372</c:v>
                </c:pt>
                <c:pt idx="316">
                  <c:v>38379</c:v>
                </c:pt>
                <c:pt idx="317">
                  <c:v>38386</c:v>
                </c:pt>
                <c:pt idx="318">
                  <c:v>38393</c:v>
                </c:pt>
                <c:pt idx="319">
                  <c:v>38400</c:v>
                </c:pt>
                <c:pt idx="320">
                  <c:v>38407</c:v>
                </c:pt>
                <c:pt idx="321">
                  <c:v>38414</c:v>
                </c:pt>
                <c:pt idx="322">
                  <c:v>38421</c:v>
                </c:pt>
                <c:pt idx="323">
                  <c:v>38428</c:v>
                </c:pt>
                <c:pt idx="324">
                  <c:v>38434</c:v>
                </c:pt>
                <c:pt idx="325">
                  <c:v>38442</c:v>
                </c:pt>
                <c:pt idx="326">
                  <c:v>38449</c:v>
                </c:pt>
                <c:pt idx="327">
                  <c:v>38456</c:v>
                </c:pt>
                <c:pt idx="328">
                  <c:v>38463</c:v>
                </c:pt>
                <c:pt idx="329">
                  <c:v>38470</c:v>
                </c:pt>
                <c:pt idx="330">
                  <c:v>38477</c:v>
                </c:pt>
                <c:pt idx="331">
                  <c:v>38484</c:v>
                </c:pt>
                <c:pt idx="332">
                  <c:v>38491</c:v>
                </c:pt>
                <c:pt idx="333">
                  <c:v>38498</c:v>
                </c:pt>
                <c:pt idx="334">
                  <c:v>38505</c:v>
                </c:pt>
                <c:pt idx="335">
                  <c:v>38512</c:v>
                </c:pt>
                <c:pt idx="336">
                  <c:v>38519</c:v>
                </c:pt>
                <c:pt idx="337">
                  <c:v>38526</c:v>
                </c:pt>
                <c:pt idx="338">
                  <c:v>38533</c:v>
                </c:pt>
                <c:pt idx="339">
                  <c:v>38540</c:v>
                </c:pt>
                <c:pt idx="340">
                  <c:v>38547</c:v>
                </c:pt>
                <c:pt idx="341">
                  <c:v>38554</c:v>
                </c:pt>
                <c:pt idx="342">
                  <c:v>38561</c:v>
                </c:pt>
                <c:pt idx="343">
                  <c:v>38568</c:v>
                </c:pt>
                <c:pt idx="344">
                  <c:v>38575</c:v>
                </c:pt>
                <c:pt idx="345">
                  <c:v>38582</c:v>
                </c:pt>
                <c:pt idx="346">
                  <c:v>38589</c:v>
                </c:pt>
                <c:pt idx="347">
                  <c:v>38596</c:v>
                </c:pt>
                <c:pt idx="348">
                  <c:v>38603</c:v>
                </c:pt>
                <c:pt idx="349">
                  <c:v>38610</c:v>
                </c:pt>
                <c:pt idx="350">
                  <c:v>38617</c:v>
                </c:pt>
                <c:pt idx="351">
                  <c:v>38624</c:v>
                </c:pt>
                <c:pt idx="352">
                  <c:v>38631</c:v>
                </c:pt>
                <c:pt idx="353">
                  <c:v>38638</c:v>
                </c:pt>
                <c:pt idx="354">
                  <c:v>38645</c:v>
                </c:pt>
                <c:pt idx="355">
                  <c:v>38652</c:v>
                </c:pt>
                <c:pt idx="356">
                  <c:v>38659</c:v>
                </c:pt>
                <c:pt idx="357">
                  <c:v>38666</c:v>
                </c:pt>
                <c:pt idx="358">
                  <c:v>38673</c:v>
                </c:pt>
                <c:pt idx="359">
                  <c:v>38680</c:v>
                </c:pt>
                <c:pt idx="360">
                  <c:v>38687</c:v>
                </c:pt>
                <c:pt idx="361">
                  <c:v>38694</c:v>
                </c:pt>
                <c:pt idx="362">
                  <c:v>38701</c:v>
                </c:pt>
                <c:pt idx="363">
                  <c:v>38708</c:v>
                </c:pt>
                <c:pt idx="364">
                  <c:v>38715</c:v>
                </c:pt>
                <c:pt idx="365">
                  <c:v>38722</c:v>
                </c:pt>
                <c:pt idx="366">
                  <c:v>38729</c:v>
                </c:pt>
                <c:pt idx="367">
                  <c:v>38736</c:v>
                </c:pt>
                <c:pt idx="368">
                  <c:v>38743</c:v>
                </c:pt>
                <c:pt idx="369">
                  <c:v>38750</c:v>
                </c:pt>
                <c:pt idx="370">
                  <c:v>38757</c:v>
                </c:pt>
                <c:pt idx="371">
                  <c:v>38764</c:v>
                </c:pt>
                <c:pt idx="372">
                  <c:v>38771</c:v>
                </c:pt>
                <c:pt idx="373">
                  <c:v>38778</c:v>
                </c:pt>
                <c:pt idx="374">
                  <c:v>38785</c:v>
                </c:pt>
                <c:pt idx="375">
                  <c:v>38792</c:v>
                </c:pt>
                <c:pt idx="376">
                  <c:v>38799</c:v>
                </c:pt>
                <c:pt idx="377">
                  <c:v>38806</c:v>
                </c:pt>
                <c:pt idx="378">
                  <c:v>38813</c:v>
                </c:pt>
                <c:pt idx="379">
                  <c:v>38819</c:v>
                </c:pt>
                <c:pt idx="380">
                  <c:v>38827</c:v>
                </c:pt>
                <c:pt idx="381">
                  <c:v>38834</c:v>
                </c:pt>
                <c:pt idx="382">
                  <c:v>38841</c:v>
                </c:pt>
                <c:pt idx="383">
                  <c:v>38848</c:v>
                </c:pt>
                <c:pt idx="384">
                  <c:v>38855</c:v>
                </c:pt>
                <c:pt idx="385">
                  <c:v>38862</c:v>
                </c:pt>
                <c:pt idx="386">
                  <c:v>38869</c:v>
                </c:pt>
                <c:pt idx="387">
                  <c:v>38876</c:v>
                </c:pt>
                <c:pt idx="388">
                  <c:v>38883</c:v>
                </c:pt>
                <c:pt idx="389">
                  <c:v>38890</c:v>
                </c:pt>
                <c:pt idx="390">
                  <c:v>38897</c:v>
                </c:pt>
                <c:pt idx="391">
                  <c:v>38904</c:v>
                </c:pt>
                <c:pt idx="392">
                  <c:v>38911</c:v>
                </c:pt>
                <c:pt idx="393">
                  <c:v>38918</c:v>
                </c:pt>
                <c:pt idx="394">
                  <c:v>38925</c:v>
                </c:pt>
                <c:pt idx="395">
                  <c:v>38932</c:v>
                </c:pt>
                <c:pt idx="396">
                  <c:v>38939</c:v>
                </c:pt>
                <c:pt idx="397">
                  <c:v>38946</c:v>
                </c:pt>
                <c:pt idx="398">
                  <c:v>38953</c:v>
                </c:pt>
                <c:pt idx="399">
                  <c:v>38960</c:v>
                </c:pt>
                <c:pt idx="400">
                  <c:v>38967</c:v>
                </c:pt>
                <c:pt idx="401">
                  <c:v>38974</c:v>
                </c:pt>
                <c:pt idx="402">
                  <c:v>38981</c:v>
                </c:pt>
                <c:pt idx="403">
                  <c:v>38988</c:v>
                </c:pt>
                <c:pt idx="404">
                  <c:v>38995</c:v>
                </c:pt>
                <c:pt idx="405">
                  <c:v>39002</c:v>
                </c:pt>
                <c:pt idx="406">
                  <c:v>39009</c:v>
                </c:pt>
                <c:pt idx="407">
                  <c:v>39016</c:v>
                </c:pt>
                <c:pt idx="408">
                  <c:v>39022</c:v>
                </c:pt>
                <c:pt idx="409">
                  <c:v>39030</c:v>
                </c:pt>
                <c:pt idx="410">
                  <c:v>39037</c:v>
                </c:pt>
                <c:pt idx="411">
                  <c:v>39044</c:v>
                </c:pt>
                <c:pt idx="412">
                  <c:v>39051</c:v>
                </c:pt>
                <c:pt idx="413">
                  <c:v>39058</c:v>
                </c:pt>
                <c:pt idx="414">
                  <c:v>39065</c:v>
                </c:pt>
                <c:pt idx="415">
                  <c:v>39072</c:v>
                </c:pt>
                <c:pt idx="416">
                  <c:v>39079</c:v>
                </c:pt>
                <c:pt idx="417">
                  <c:v>39086</c:v>
                </c:pt>
                <c:pt idx="418">
                  <c:v>39093</c:v>
                </c:pt>
                <c:pt idx="419">
                  <c:v>39100</c:v>
                </c:pt>
                <c:pt idx="420">
                  <c:v>39107</c:v>
                </c:pt>
                <c:pt idx="421">
                  <c:v>39114</c:v>
                </c:pt>
                <c:pt idx="422">
                  <c:v>39121</c:v>
                </c:pt>
                <c:pt idx="423">
                  <c:v>39128</c:v>
                </c:pt>
                <c:pt idx="424">
                  <c:v>39135</c:v>
                </c:pt>
                <c:pt idx="425">
                  <c:v>39142</c:v>
                </c:pt>
                <c:pt idx="426">
                  <c:v>39149</c:v>
                </c:pt>
                <c:pt idx="427">
                  <c:v>39156</c:v>
                </c:pt>
                <c:pt idx="428">
                  <c:v>39163</c:v>
                </c:pt>
                <c:pt idx="429">
                  <c:v>39170</c:v>
                </c:pt>
                <c:pt idx="430">
                  <c:v>39176</c:v>
                </c:pt>
                <c:pt idx="431">
                  <c:v>39184</c:v>
                </c:pt>
                <c:pt idx="432">
                  <c:v>39191</c:v>
                </c:pt>
                <c:pt idx="433">
                  <c:v>39198</c:v>
                </c:pt>
                <c:pt idx="434">
                  <c:v>39205</c:v>
                </c:pt>
                <c:pt idx="435">
                  <c:v>39212</c:v>
                </c:pt>
                <c:pt idx="436">
                  <c:v>39219</c:v>
                </c:pt>
                <c:pt idx="437">
                  <c:v>39226</c:v>
                </c:pt>
                <c:pt idx="438">
                  <c:v>39233</c:v>
                </c:pt>
                <c:pt idx="439">
                  <c:v>39240</c:v>
                </c:pt>
                <c:pt idx="440">
                  <c:v>39247</c:v>
                </c:pt>
                <c:pt idx="441">
                  <c:v>39254</c:v>
                </c:pt>
                <c:pt idx="442">
                  <c:v>39261</c:v>
                </c:pt>
                <c:pt idx="443">
                  <c:v>39268</c:v>
                </c:pt>
                <c:pt idx="444">
                  <c:v>39275</c:v>
                </c:pt>
                <c:pt idx="445">
                  <c:v>39282</c:v>
                </c:pt>
                <c:pt idx="446">
                  <c:v>39289</c:v>
                </c:pt>
                <c:pt idx="447">
                  <c:v>39296</c:v>
                </c:pt>
                <c:pt idx="448">
                  <c:v>39303</c:v>
                </c:pt>
                <c:pt idx="449">
                  <c:v>39310</c:v>
                </c:pt>
                <c:pt idx="450">
                  <c:v>39317</c:v>
                </c:pt>
                <c:pt idx="451">
                  <c:v>39324</c:v>
                </c:pt>
                <c:pt idx="452">
                  <c:v>39331</c:v>
                </c:pt>
                <c:pt idx="453">
                  <c:v>39338</c:v>
                </c:pt>
                <c:pt idx="454">
                  <c:v>39345</c:v>
                </c:pt>
                <c:pt idx="455">
                  <c:v>39352</c:v>
                </c:pt>
                <c:pt idx="456">
                  <c:v>39359</c:v>
                </c:pt>
                <c:pt idx="457">
                  <c:v>39366</c:v>
                </c:pt>
                <c:pt idx="458">
                  <c:v>39373</c:v>
                </c:pt>
                <c:pt idx="459">
                  <c:v>39380</c:v>
                </c:pt>
                <c:pt idx="460">
                  <c:v>39387</c:v>
                </c:pt>
                <c:pt idx="461">
                  <c:v>39394</c:v>
                </c:pt>
                <c:pt idx="462">
                  <c:v>39401</c:v>
                </c:pt>
                <c:pt idx="463">
                  <c:v>39408</c:v>
                </c:pt>
                <c:pt idx="464">
                  <c:v>39415</c:v>
                </c:pt>
                <c:pt idx="465">
                  <c:v>39422</c:v>
                </c:pt>
                <c:pt idx="466">
                  <c:v>39429</c:v>
                </c:pt>
                <c:pt idx="467">
                  <c:v>39436</c:v>
                </c:pt>
                <c:pt idx="468">
                  <c:v>39443</c:v>
                </c:pt>
                <c:pt idx="469">
                  <c:v>39450</c:v>
                </c:pt>
                <c:pt idx="470">
                  <c:v>39457</c:v>
                </c:pt>
                <c:pt idx="471">
                  <c:v>39464</c:v>
                </c:pt>
                <c:pt idx="472">
                  <c:v>39471</c:v>
                </c:pt>
                <c:pt idx="473">
                  <c:v>39478</c:v>
                </c:pt>
                <c:pt idx="474">
                  <c:v>39485</c:v>
                </c:pt>
                <c:pt idx="475">
                  <c:v>39492</c:v>
                </c:pt>
                <c:pt idx="476">
                  <c:v>39499</c:v>
                </c:pt>
                <c:pt idx="477">
                  <c:v>39506</c:v>
                </c:pt>
                <c:pt idx="478">
                  <c:v>39513</c:v>
                </c:pt>
                <c:pt idx="479">
                  <c:v>39520</c:v>
                </c:pt>
                <c:pt idx="480">
                  <c:v>39526</c:v>
                </c:pt>
                <c:pt idx="481">
                  <c:v>39534</c:v>
                </c:pt>
                <c:pt idx="482">
                  <c:v>39541</c:v>
                </c:pt>
                <c:pt idx="483">
                  <c:v>39548</c:v>
                </c:pt>
                <c:pt idx="484">
                  <c:v>39555</c:v>
                </c:pt>
                <c:pt idx="485">
                  <c:v>39562</c:v>
                </c:pt>
                <c:pt idx="486">
                  <c:v>39568</c:v>
                </c:pt>
                <c:pt idx="487">
                  <c:v>39576</c:v>
                </c:pt>
                <c:pt idx="488">
                  <c:v>39583</c:v>
                </c:pt>
                <c:pt idx="489">
                  <c:v>39590</c:v>
                </c:pt>
                <c:pt idx="490">
                  <c:v>39597</c:v>
                </c:pt>
                <c:pt idx="491">
                  <c:v>39604</c:v>
                </c:pt>
                <c:pt idx="492">
                  <c:v>39611</c:v>
                </c:pt>
                <c:pt idx="493">
                  <c:v>39618</c:v>
                </c:pt>
                <c:pt idx="494">
                  <c:v>39625</c:v>
                </c:pt>
                <c:pt idx="495">
                  <c:v>39632</c:v>
                </c:pt>
                <c:pt idx="496">
                  <c:v>39639</c:v>
                </c:pt>
                <c:pt idx="497">
                  <c:v>39646</c:v>
                </c:pt>
                <c:pt idx="498">
                  <c:v>39653</c:v>
                </c:pt>
                <c:pt idx="499">
                  <c:v>39660</c:v>
                </c:pt>
                <c:pt idx="500">
                  <c:v>39667</c:v>
                </c:pt>
                <c:pt idx="501">
                  <c:v>39674</c:v>
                </c:pt>
                <c:pt idx="502">
                  <c:v>39681</c:v>
                </c:pt>
                <c:pt idx="503">
                  <c:v>39688</c:v>
                </c:pt>
                <c:pt idx="504">
                  <c:v>39695</c:v>
                </c:pt>
                <c:pt idx="505">
                  <c:v>39702</c:v>
                </c:pt>
                <c:pt idx="506">
                  <c:v>39709</c:v>
                </c:pt>
                <c:pt idx="507">
                  <c:v>39716</c:v>
                </c:pt>
                <c:pt idx="508">
                  <c:v>39723</c:v>
                </c:pt>
                <c:pt idx="509">
                  <c:v>39730</c:v>
                </c:pt>
                <c:pt idx="510">
                  <c:v>39737</c:v>
                </c:pt>
                <c:pt idx="511">
                  <c:v>39744</c:v>
                </c:pt>
                <c:pt idx="512">
                  <c:v>39751</c:v>
                </c:pt>
                <c:pt idx="513">
                  <c:v>39758</c:v>
                </c:pt>
                <c:pt idx="514">
                  <c:v>39765</c:v>
                </c:pt>
                <c:pt idx="515">
                  <c:v>39772</c:v>
                </c:pt>
                <c:pt idx="516">
                  <c:v>39779</c:v>
                </c:pt>
                <c:pt idx="517">
                  <c:v>39786</c:v>
                </c:pt>
                <c:pt idx="518">
                  <c:v>39793</c:v>
                </c:pt>
                <c:pt idx="519">
                  <c:v>39800</c:v>
                </c:pt>
                <c:pt idx="520">
                  <c:v>39806</c:v>
                </c:pt>
                <c:pt idx="521">
                  <c:v>39813</c:v>
                </c:pt>
                <c:pt idx="522">
                  <c:v>39821</c:v>
                </c:pt>
                <c:pt idx="523">
                  <c:v>39828</c:v>
                </c:pt>
                <c:pt idx="524">
                  <c:v>39835</c:v>
                </c:pt>
                <c:pt idx="525">
                  <c:v>39842</c:v>
                </c:pt>
                <c:pt idx="526">
                  <c:v>39849</c:v>
                </c:pt>
                <c:pt idx="527">
                  <c:v>39856</c:v>
                </c:pt>
                <c:pt idx="528">
                  <c:v>39863</c:v>
                </c:pt>
                <c:pt idx="529">
                  <c:v>39870</c:v>
                </c:pt>
                <c:pt idx="530">
                  <c:v>39877</c:v>
                </c:pt>
                <c:pt idx="531">
                  <c:v>39884</c:v>
                </c:pt>
                <c:pt idx="532">
                  <c:v>39891</c:v>
                </c:pt>
                <c:pt idx="533">
                  <c:v>39898</c:v>
                </c:pt>
                <c:pt idx="534">
                  <c:v>39905</c:v>
                </c:pt>
                <c:pt idx="535">
                  <c:v>39911</c:v>
                </c:pt>
                <c:pt idx="536">
                  <c:v>39919</c:v>
                </c:pt>
                <c:pt idx="537">
                  <c:v>39926</c:v>
                </c:pt>
                <c:pt idx="538">
                  <c:v>39933</c:v>
                </c:pt>
                <c:pt idx="539">
                  <c:v>39940</c:v>
                </c:pt>
                <c:pt idx="540">
                  <c:v>39947</c:v>
                </c:pt>
                <c:pt idx="541">
                  <c:v>39954</c:v>
                </c:pt>
                <c:pt idx="542">
                  <c:v>39961</c:v>
                </c:pt>
                <c:pt idx="543">
                  <c:v>39968</c:v>
                </c:pt>
                <c:pt idx="544">
                  <c:v>39975</c:v>
                </c:pt>
                <c:pt idx="545">
                  <c:v>39982</c:v>
                </c:pt>
                <c:pt idx="546">
                  <c:v>39989</c:v>
                </c:pt>
                <c:pt idx="547">
                  <c:v>39996</c:v>
                </c:pt>
                <c:pt idx="548">
                  <c:v>40003</c:v>
                </c:pt>
                <c:pt idx="549">
                  <c:v>40010</c:v>
                </c:pt>
                <c:pt idx="550">
                  <c:v>40017</c:v>
                </c:pt>
                <c:pt idx="551">
                  <c:v>40024</c:v>
                </c:pt>
                <c:pt idx="552">
                  <c:v>40031</c:v>
                </c:pt>
                <c:pt idx="553">
                  <c:v>40038</c:v>
                </c:pt>
                <c:pt idx="554">
                  <c:v>40045</c:v>
                </c:pt>
                <c:pt idx="555">
                  <c:v>40052</c:v>
                </c:pt>
                <c:pt idx="556">
                  <c:v>40059</c:v>
                </c:pt>
                <c:pt idx="557">
                  <c:v>40066</c:v>
                </c:pt>
                <c:pt idx="558">
                  <c:v>40073</c:v>
                </c:pt>
                <c:pt idx="559">
                  <c:v>40080</c:v>
                </c:pt>
                <c:pt idx="560">
                  <c:v>40087</c:v>
                </c:pt>
                <c:pt idx="561">
                  <c:v>40094</c:v>
                </c:pt>
                <c:pt idx="562">
                  <c:v>40101</c:v>
                </c:pt>
                <c:pt idx="563">
                  <c:v>40108</c:v>
                </c:pt>
                <c:pt idx="564">
                  <c:v>40115</c:v>
                </c:pt>
                <c:pt idx="565">
                  <c:v>40122</c:v>
                </c:pt>
                <c:pt idx="566">
                  <c:v>40129</c:v>
                </c:pt>
                <c:pt idx="567">
                  <c:v>40136</c:v>
                </c:pt>
                <c:pt idx="568">
                  <c:v>40143</c:v>
                </c:pt>
                <c:pt idx="569">
                  <c:v>40150</c:v>
                </c:pt>
                <c:pt idx="570">
                  <c:v>40157</c:v>
                </c:pt>
                <c:pt idx="571">
                  <c:v>40164</c:v>
                </c:pt>
                <c:pt idx="572">
                  <c:v>40171</c:v>
                </c:pt>
                <c:pt idx="573">
                  <c:v>40178</c:v>
                </c:pt>
                <c:pt idx="574">
                  <c:v>40185</c:v>
                </c:pt>
                <c:pt idx="575">
                  <c:v>40192</c:v>
                </c:pt>
                <c:pt idx="576">
                  <c:v>40199</c:v>
                </c:pt>
                <c:pt idx="577">
                  <c:v>40206</c:v>
                </c:pt>
                <c:pt idx="578">
                  <c:v>40213</c:v>
                </c:pt>
                <c:pt idx="579">
                  <c:v>40220</c:v>
                </c:pt>
                <c:pt idx="580">
                  <c:v>40227</c:v>
                </c:pt>
                <c:pt idx="581">
                  <c:v>40234</c:v>
                </c:pt>
                <c:pt idx="582">
                  <c:v>40241</c:v>
                </c:pt>
                <c:pt idx="583">
                  <c:v>40248</c:v>
                </c:pt>
                <c:pt idx="584">
                  <c:v>40255</c:v>
                </c:pt>
                <c:pt idx="585">
                  <c:v>40262</c:v>
                </c:pt>
                <c:pt idx="586">
                  <c:v>40268</c:v>
                </c:pt>
                <c:pt idx="587">
                  <c:v>40276</c:v>
                </c:pt>
                <c:pt idx="588">
                  <c:v>40283</c:v>
                </c:pt>
                <c:pt idx="589">
                  <c:v>40290</c:v>
                </c:pt>
                <c:pt idx="590">
                  <c:v>40297</c:v>
                </c:pt>
                <c:pt idx="591">
                  <c:v>40304</c:v>
                </c:pt>
                <c:pt idx="592">
                  <c:v>40311</c:v>
                </c:pt>
                <c:pt idx="593">
                  <c:v>40318</c:v>
                </c:pt>
                <c:pt idx="594">
                  <c:v>40325</c:v>
                </c:pt>
                <c:pt idx="595">
                  <c:v>40332</c:v>
                </c:pt>
                <c:pt idx="596">
                  <c:v>40339</c:v>
                </c:pt>
                <c:pt idx="597">
                  <c:v>40346</c:v>
                </c:pt>
                <c:pt idx="598">
                  <c:v>40353</c:v>
                </c:pt>
                <c:pt idx="599">
                  <c:v>40360</c:v>
                </c:pt>
                <c:pt idx="600">
                  <c:v>40367</c:v>
                </c:pt>
                <c:pt idx="601">
                  <c:v>40374</c:v>
                </c:pt>
                <c:pt idx="602">
                  <c:v>40381</c:v>
                </c:pt>
                <c:pt idx="603">
                  <c:v>40388</c:v>
                </c:pt>
                <c:pt idx="604">
                  <c:v>40395</c:v>
                </c:pt>
                <c:pt idx="605">
                  <c:v>40402</c:v>
                </c:pt>
                <c:pt idx="606">
                  <c:v>40409</c:v>
                </c:pt>
                <c:pt idx="607">
                  <c:v>40416</c:v>
                </c:pt>
                <c:pt idx="608">
                  <c:v>40423</c:v>
                </c:pt>
                <c:pt idx="609">
                  <c:v>40430</c:v>
                </c:pt>
                <c:pt idx="610">
                  <c:v>40436</c:v>
                </c:pt>
                <c:pt idx="611">
                  <c:v>40444</c:v>
                </c:pt>
                <c:pt idx="612">
                  <c:v>40451</c:v>
                </c:pt>
                <c:pt idx="613">
                  <c:v>40458</c:v>
                </c:pt>
                <c:pt idx="614">
                  <c:v>40465</c:v>
                </c:pt>
                <c:pt idx="615">
                  <c:v>40472</c:v>
                </c:pt>
                <c:pt idx="616">
                  <c:v>40479</c:v>
                </c:pt>
                <c:pt idx="617">
                  <c:v>40486</c:v>
                </c:pt>
                <c:pt idx="618">
                  <c:v>40493</c:v>
                </c:pt>
                <c:pt idx="619">
                  <c:v>40500</c:v>
                </c:pt>
                <c:pt idx="620">
                  <c:v>40507</c:v>
                </c:pt>
                <c:pt idx="621">
                  <c:v>40514</c:v>
                </c:pt>
                <c:pt idx="622">
                  <c:v>40521</c:v>
                </c:pt>
                <c:pt idx="623">
                  <c:v>40528</c:v>
                </c:pt>
                <c:pt idx="624">
                  <c:v>40535</c:v>
                </c:pt>
                <c:pt idx="625">
                  <c:v>40542</c:v>
                </c:pt>
                <c:pt idx="626">
                  <c:v>40549</c:v>
                </c:pt>
                <c:pt idx="627">
                  <c:v>40556</c:v>
                </c:pt>
                <c:pt idx="628">
                  <c:v>40563</c:v>
                </c:pt>
                <c:pt idx="629">
                  <c:v>40570</c:v>
                </c:pt>
                <c:pt idx="630">
                  <c:v>40577</c:v>
                </c:pt>
                <c:pt idx="631">
                  <c:v>40584</c:v>
                </c:pt>
                <c:pt idx="632">
                  <c:v>40591</c:v>
                </c:pt>
                <c:pt idx="633">
                  <c:v>40598</c:v>
                </c:pt>
                <c:pt idx="634">
                  <c:v>40605</c:v>
                </c:pt>
                <c:pt idx="635">
                  <c:v>40612</c:v>
                </c:pt>
                <c:pt idx="636">
                  <c:v>40619</c:v>
                </c:pt>
                <c:pt idx="637">
                  <c:v>40626</c:v>
                </c:pt>
                <c:pt idx="638">
                  <c:v>40633</c:v>
                </c:pt>
                <c:pt idx="639">
                  <c:v>40640</c:v>
                </c:pt>
                <c:pt idx="640">
                  <c:v>40647</c:v>
                </c:pt>
                <c:pt idx="641">
                  <c:v>40653</c:v>
                </c:pt>
                <c:pt idx="642">
                  <c:v>40661</c:v>
                </c:pt>
                <c:pt idx="643">
                  <c:v>40668</c:v>
                </c:pt>
                <c:pt idx="644">
                  <c:v>40675</c:v>
                </c:pt>
                <c:pt idx="645">
                  <c:v>40682</c:v>
                </c:pt>
                <c:pt idx="646">
                  <c:v>40689</c:v>
                </c:pt>
                <c:pt idx="647">
                  <c:v>40696</c:v>
                </c:pt>
                <c:pt idx="648">
                  <c:v>40703</c:v>
                </c:pt>
                <c:pt idx="649">
                  <c:v>40710</c:v>
                </c:pt>
                <c:pt idx="650">
                  <c:v>40717</c:v>
                </c:pt>
                <c:pt idx="651">
                  <c:v>40724</c:v>
                </c:pt>
                <c:pt idx="652">
                  <c:v>40731</c:v>
                </c:pt>
                <c:pt idx="653">
                  <c:v>40738</c:v>
                </c:pt>
                <c:pt idx="654">
                  <c:v>40745</c:v>
                </c:pt>
                <c:pt idx="655">
                  <c:v>40752</c:v>
                </c:pt>
                <c:pt idx="656">
                  <c:v>40759</c:v>
                </c:pt>
                <c:pt idx="657">
                  <c:v>40766</c:v>
                </c:pt>
                <c:pt idx="658">
                  <c:v>40773</c:v>
                </c:pt>
                <c:pt idx="659">
                  <c:v>40780</c:v>
                </c:pt>
                <c:pt idx="660">
                  <c:v>40787</c:v>
                </c:pt>
                <c:pt idx="661">
                  <c:v>40794</c:v>
                </c:pt>
                <c:pt idx="662">
                  <c:v>40801</c:v>
                </c:pt>
                <c:pt idx="663">
                  <c:v>40808</c:v>
                </c:pt>
                <c:pt idx="664">
                  <c:v>40815</c:v>
                </c:pt>
                <c:pt idx="665">
                  <c:v>40822</c:v>
                </c:pt>
                <c:pt idx="666">
                  <c:v>40829</c:v>
                </c:pt>
                <c:pt idx="667">
                  <c:v>40836</c:v>
                </c:pt>
                <c:pt idx="668">
                  <c:v>40843</c:v>
                </c:pt>
                <c:pt idx="669">
                  <c:v>40850</c:v>
                </c:pt>
                <c:pt idx="670">
                  <c:v>40857</c:v>
                </c:pt>
                <c:pt idx="671">
                  <c:v>40864</c:v>
                </c:pt>
                <c:pt idx="672">
                  <c:v>40871</c:v>
                </c:pt>
                <c:pt idx="673">
                  <c:v>40878</c:v>
                </c:pt>
                <c:pt idx="674">
                  <c:v>40885</c:v>
                </c:pt>
                <c:pt idx="675">
                  <c:v>40892</c:v>
                </c:pt>
                <c:pt idx="676">
                  <c:v>40899</c:v>
                </c:pt>
                <c:pt idx="677">
                  <c:v>40906</c:v>
                </c:pt>
                <c:pt idx="678">
                  <c:v>40913</c:v>
                </c:pt>
                <c:pt idx="679">
                  <c:v>40920</c:v>
                </c:pt>
                <c:pt idx="680">
                  <c:v>40927</c:v>
                </c:pt>
                <c:pt idx="681">
                  <c:v>40934</c:v>
                </c:pt>
                <c:pt idx="682">
                  <c:v>40941</c:v>
                </c:pt>
                <c:pt idx="683">
                  <c:v>40948</c:v>
                </c:pt>
                <c:pt idx="684">
                  <c:v>40955</c:v>
                </c:pt>
                <c:pt idx="685">
                  <c:v>40962</c:v>
                </c:pt>
                <c:pt idx="686">
                  <c:v>40969</c:v>
                </c:pt>
                <c:pt idx="687">
                  <c:v>40976</c:v>
                </c:pt>
                <c:pt idx="688">
                  <c:v>40983</c:v>
                </c:pt>
                <c:pt idx="689">
                  <c:v>40990</c:v>
                </c:pt>
                <c:pt idx="690">
                  <c:v>40997</c:v>
                </c:pt>
                <c:pt idx="691">
                  <c:v>41003</c:v>
                </c:pt>
                <c:pt idx="692">
                  <c:v>41011</c:v>
                </c:pt>
                <c:pt idx="693">
                  <c:v>41018</c:v>
                </c:pt>
                <c:pt idx="694">
                  <c:v>41025</c:v>
                </c:pt>
                <c:pt idx="695">
                  <c:v>41032</c:v>
                </c:pt>
                <c:pt idx="696">
                  <c:v>41039</c:v>
                </c:pt>
                <c:pt idx="697">
                  <c:v>41046</c:v>
                </c:pt>
                <c:pt idx="698">
                  <c:v>41053</c:v>
                </c:pt>
                <c:pt idx="699">
                  <c:v>41060</c:v>
                </c:pt>
                <c:pt idx="700">
                  <c:v>41067</c:v>
                </c:pt>
                <c:pt idx="701">
                  <c:v>41074</c:v>
                </c:pt>
                <c:pt idx="702">
                  <c:v>41081</c:v>
                </c:pt>
                <c:pt idx="703">
                  <c:v>41088</c:v>
                </c:pt>
                <c:pt idx="704">
                  <c:v>41095</c:v>
                </c:pt>
                <c:pt idx="705">
                  <c:v>41102</c:v>
                </c:pt>
                <c:pt idx="706">
                  <c:v>41109</c:v>
                </c:pt>
                <c:pt idx="707">
                  <c:v>41116</c:v>
                </c:pt>
                <c:pt idx="708">
                  <c:v>41123</c:v>
                </c:pt>
                <c:pt idx="709">
                  <c:v>41130</c:v>
                </c:pt>
                <c:pt idx="710">
                  <c:v>41137</c:v>
                </c:pt>
                <c:pt idx="711">
                  <c:v>41144</c:v>
                </c:pt>
                <c:pt idx="712">
                  <c:v>41151</c:v>
                </c:pt>
                <c:pt idx="713">
                  <c:v>41158</c:v>
                </c:pt>
                <c:pt idx="714">
                  <c:v>41165</c:v>
                </c:pt>
                <c:pt idx="715">
                  <c:v>41172</c:v>
                </c:pt>
                <c:pt idx="716">
                  <c:v>41179</c:v>
                </c:pt>
                <c:pt idx="717">
                  <c:v>41186</c:v>
                </c:pt>
                <c:pt idx="718">
                  <c:v>41193</c:v>
                </c:pt>
                <c:pt idx="719">
                  <c:v>41200</c:v>
                </c:pt>
                <c:pt idx="720">
                  <c:v>41207</c:v>
                </c:pt>
                <c:pt idx="721">
                  <c:v>41214</c:v>
                </c:pt>
                <c:pt idx="722">
                  <c:v>41221</c:v>
                </c:pt>
                <c:pt idx="723">
                  <c:v>41228</c:v>
                </c:pt>
                <c:pt idx="724">
                  <c:v>41235</c:v>
                </c:pt>
                <c:pt idx="725">
                  <c:v>41242</c:v>
                </c:pt>
                <c:pt idx="726">
                  <c:v>41249</c:v>
                </c:pt>
                <c:pt idx="727">
                  <c:v>41256</c:v>
                </c:pt>
                <c:pt idx="728">
                  <c:v>41263</c:v>
                </c:pt>
                <c:pt idx="729">
                  <c:v>41270</c:v>
                </c:pt>
                <c:pt idx="730">
                  <c:v>41277</c:v>
                </c:pt>
                <c:pt idx="731">
                  <c:v>41284</c:v>
                </c:pt>
                <c:pt idx="732">
                  <c:v>41291</c:v>
                </c:pt>
                <c:pt idx="733">
                  <c:v>41298</c:v>
                </c:pt>
                <c:pt idx="734">
                  <c:v>41305</c:v>
                </c:pt>
                <c:pt idx="735">
                  <c:v>41312</c:v>
                </c:pt>
                <c:pt idx="736">
                  <c:v>41319</c:v>
                </c:pt>
                <c:pt idx="737">
                  <c:v>41326</c:v>
                </c:pt>
                <c:pt idx="738">
                  <c:v>41333</c:v>
                </c:pt>
                <c:pt idx="739">
                  <c:v>41340</c:v>
                </c:pt>
                <c:pt idx="740">
                  <c:v>41347</c:v>
                </c:pt>
                <c:pt idx="741">
                  <c:v>41354</c:v>
                </c:pt>
                <c:pt idx="742">
                  <c:v>41360</c:v>
                </c:pt>
                <c:pt idx="743">
                  <c:v>41368</c:v>
                </c:pt>
                <c:pt idx="744">
                  <c:v>41375</c:v>
                </c:pt>
                <c:pt idx="745">
                  <c:v>41382</c:v>
                </c:pt>
                <c:pt idx="746">
                  <c:v>41389</c:v>
                </c:pt>
                <c:pt idx="747">
                  <c:v>41396</c:v>
                </c:pt>
                <c:pt idx="748">
                  <c:v>41403</c:v>
                </c:pt>
                <c:pt idx="749">
                  <c:v>41410</c:v>
                </c:pt>
                <c:pt idx="750">
                  <c:v>41417</c:v>
                </c:pt>
                <c:pt idx="751">
                  <c:v>41424</c:v>
                </c:pt>
                <c:pt idx="752">
                  <c:v>41431</c:v>
                </c:pt>
                <c:pt idx="753">
                  <c:v>41438</c:v>
                </c:pt>
                <c:pt idx="754">
                  <c:v>41445</c:v>
                </c:pt>
                <c:pt idx="755">
                  <c:v>41452</c:v>
                </c:pt>
                <c:pt idx="756">
                  <c:v>41459</c:v>
                </c:pt>
                <c:pt idx="757">
                  <c:v>41466</c:v>
                </c:pt>
                <c:pt idx="758">
                  <c:v>41473</c:v>
                </c:pt>
                <c:pt idx="759">
                  <c:v>41480</c:v>
                </c:pt>
                <c:pt idx="760">
                  <c:v>41487</c:v>
                </c:pt>
                <c:pt idx="761">
                  <c:v>41494</c:v>
                </c:pt>
                <c:pt idx="762">
                  <c:v>41501</c:v>
                </c:pt>
                <c:pt idx="763">
                  <c:v>41508</c:v>
                </c:pt>
                <c:pt idx="764">
                  <c:v>41515</c:v>
                </c:pt>
                <c:pt idx="765">
                  <c:v>41522</c:v>
                </c:pt>
                <c:pt idx="766">
                  <c:v>41529</c:v>
                </c:pt>
                <c:pt idx="767">
                  <c:v>41536</c:v>
                </c:pt>
                <c:pt idx="768">
                  <c:v>41543</c:v>
                </c:pt>
                <c:pt idx="769">
                  <c:v>41550</c:v>
                </c:pt>
                <c:pt idx="770">
                  <c:v>41557</c:v>
                </c:pt>
                <c:pt idx="771">
                  <c:v>41564</c:v>
                </c:pt>
                <c:pt idx="772">
                  <c:v>41571</c:v>
                </c:pt>
                <c:pt idx="773">
                  <c:v>41578</c:v>
                </c:pt>
                <c:pt idx="774">
                  <c:v>41585</c:v>
                </c:pt>
                <c:pt idx="775">
                  <c:v>41592</c:v>
                </c:pt>
                <c:pt idx="776">
                  <c:v>41599</c:v>
                </c:pt>
                <c:pt idx="777">
                  <c:v>41606</c:v>
                </c:pt>
                <c:pt idx="778">
                  <c:v>41613</c:v>
                </c:pt>
                <c:pt idx="779">
                  <c:v>41619</c:v>
                </c:pt>
                <c:pt idx="780">
                  <c:v>41627</c:v>
                </c:pt>
                <c:pt idx="781">
                  <c:v>41634</c:v>
                </c:pt>
                <c:pt idx="782">
                  <c:v>41641</c:v>
                </c:pt>
                <c:pt idx="783">
                  <c:v>41648</c:v>
                </c:pt>
                <c:pt idx="784">
                  <c:v>41655</c:v>
                </c:pt>
                <c:pt idx="785">
                  <c:v>41662</c:v>
                </c:pt>
                <c:pt idx="786">
                  <c:v>41669</c:v>
                </c:pt>
                <c:pt idx="787">
                  <c:v>41676</c:v>
                </c:pt>
                <c:pt idx="788">
                  <c:v>41683</c:v>
                </c:pt>
                <c:pt idx="789">
                  <c:v>41690</c:v>
                </c:pt>
                <c:pt idx="790">
                  <c:v>41697</c:v>
                </c:pt>
                <c:pt idx="791">
                  <c:v>41704</c:v>
                </c:pt>
                <c:pt idx="792">
                  <c:v>41711</c:v>
                </c:pt>
                <c:pt idx="793">
                  <c:v>41718</c:v>
                </c:pt>
                <c:pt idx="794">
                  <c:v>41725</c:v>
                </c:pt>
                <c:pt idx="795">
                  <c:v>41732</c:v>
                </c:pt>
                <c:pt idx="796">
                  <c:v>41739</c:v>
                </c:pt>
                <c:pt idx="797">
                  <c:v>41745</c:v>
                </c:pt>
                <c:pt idx="798">
                  <c:v>41753</c:v>
                </c:pt>
                <c:pt idx="799">
                  <c:v>41759</c:v>
                </c:pt>
                <c:pt idx="800">
                  <c:v>41767</c:v>
                </c:pt>
                <c:pt idx="801">
                  <c:v>41774</c:v>
                </c:pt>
                <c:pt idx="802">
                  <c:v>41781</c:v>
                </c:pt>
                <c:pt idx="803">
                  <c:v>41788</c:v>
                </c:pt>
                <c:pt idx="804">
                  <c:v>41795</c:v>
                </c:pt>
                <c:pt idx="805">
                  <c:v>41802</c:v>
                </c:pt>
                <c:pt idx="806">
                  <c:v>41809</c:v>
                </c:pt>
                <c:pt idx="807">
                  <c:v>41816</c:v>
                </c:pt>
                <c:pt idx="808">
                  <c:v>41823</c:v>
                </c:pt>
                <c:pt idx="809">
                  <c:v>41830</c:v>
                </c:pt>
                <c:pt idx="810">
                  <c:v>41837</c:v>
                </c:pt>
                <c:pt idx="811">
                  <c:v>41844</c:v>
                </c:pt>
                <c:pt idx="812">
                  <c:v>41851</c:v>
                </c:pt>
                <c:pt idx="813">
                  <c:v>41858</c:v>
                </c:pt>
                <c:pt idx="814">
                  <c:v>41865</c:v>
                </c:pt>
                <c:pt idx="815">
                  <c:v>41872</c:v>
                </c:pt>
                <c:pt idx="816">
                  <c:v>41879</c:v>
                </c:pt>
                <c:pt idx="817">
                  <c:v>41886</c:v>
                </c:pt>
                <c:pt idx="818">
                  <c:v>41893</c:v>
                </c:pt>
                <c:pt idx="819">
                  <c:v>41900</c:v>
                </c:pt>
                <c:pt idx="820">
                  <c:v>41907</c:v>
                </c:pt>
                <c:pt idx="821">
                  <c:v>41914</c:v>
                </c:pt>
                <c:pt idx="822">
                  <c:v>41921</c:v>
                </c:pt>
                <c:pt idx="823">
                  <c:v>41928</c:v>
                </c:pt>
                <c:pt idx="824">
                  <c:v>41935</c:v>
                </c:pt>
                <c:pt idx="825">
                  <c:v>41942</c:v>
                </c:pt>
                <c:pt idx="826">
                  <c:v>41949</c:v>
                </c:pt>
                <c:pt idx="827">
                  <c:v>41956</c:v>
                </c:pt>
                <c:pt idx="828">
                  <c:v>41963</c:v>
                </c:pt>
                <c:pt idx="829">
                  <c:v>41970</c:v>
                </c:pt>
                <c:pt idx="830">
                  <c:v>41977</c:v>
                </c:pt>
                <c:pt idx="831">
                  <c:v>41984</c:v>
                </c:pt>
                <c:pt idx="832">
                  <c:v>41991</c:v>
                </c:pt>
                <c:pt idx="833">
                  <c:v>41997</c:v>
                </c:pt>
                <c:pt idx="834">
                  <c:v>42004</c:v>
                </c:pt>
                <c:pt idx="835">
                  <c:v>42012</c:v>
                </c:pt>
                <c:pt idx="836">
                  <c:v>42019</c:v>
                </c:pt>
                <c:pt idx="837">
                  <c:v>42026</c:v>
                </c:pt>
                <c:pt idx="838">
                  <c:v>42033</c:v>
                </c:pt>
                <c:pt idx="839">
                  <c:v>42040</c:v>
                </c:pt>
                <c:pt idx="840">
                  <c:v>42047</c:v>
                </c:pt>
                <c:pt idx="841">
                  <c:v>42054</c:v>
                </c:pt>
                <c:pt idx="842">
                  <c:v>42061</c:v>
                </c:pt>
                <c:pt idx="843">
                  <c:v>42068</c:v>
                </c:pt>
                <c:pt idx="844">
                  <c:v>42075</c:v>
                </c:pt>
                <c:pt idx="845">
                  <c:v>42082</c:v>
                </c:pt>
                <c:pt idx="846">
                  <c:v>42089</c:v>
                </c:pt>
                <c:pt idx="847">
                  <c:v>42095</c:v>
                </c:pt>
                <c:pt idx="848">
                  <c:v>42103</c:v>
                </c:pt>
                <c:pt idx="849">
                  <c:v>42110</c:v>
                </c:pt>
                <c:pt idx="850">
                  <c:v>42117</c:v>
                </c:pt>
                <c:pt idx="851">
                  <c:v>42124</c:v>
                </c:pt>
                <c:pt idx="852">
                  <c:v>42131</c:v>
                </c:pt>
                <c:pt idx="853">
                  <c:v>42138</c:v>
                </c:pt>
                <c:pt idx="854">
                  <c:v>42145</c:v>
                </c:pt>
                <c:pt idx="855">
                  <c:v>42152</c:v>
                </c:pt>
                <c:pt idx="856">
                  <c:v>42159</c:v>
                </c:pt>
                <c:pt idx="857">
                  <c:v>42166</c:v>
                </c:pt>
                <c:pt idx="858">
                  <c:v>42173</c:v>
                </c:pt>
                <c:pt idx="859">
                  <c:v>42180</c:v>
                </c:pt>
                <c:pt idx="860">
                  <c:v>42187</c:v>
                </c:pt>
                <c:pt idx="861">
                  <c:v>42194</c:v>
                </c:pt>
                <c:pt idx="862">
                  <c:v>42201</c:v>
                </c:pt>
                <c:pt idx="863">
                  <c:v>42208</c:v>
                </c:pt>
                <c:pt idx="864">
                  <c:v>42215</c:v>
                </c:pt>
                <c:pt idx="865">
                  <c:v>42222</c:v>
                </c:pt>
                <c:pt idx="866">
                  <c:v>42229</c:v>
                </c:pt>
                <c:pt idx="867">
                  <c:v>42236</c:v>
                </c:pt>
                <c:pt idx="868">
                  <c:v>42243</c:v>
                </c:pt>
                <c:pt idx="869">
                  <c:v>42250</c:v>
                </c:pt>
                <c:pt idx="870">
                  <c:v>42257</c:v>
                </c:pt>
                <c:pt idx="871">
                  <c:v>42264</c:v>
                </c:pt>
                <c:pt idx="872">
                  <c:v>42271</c:v>
                </c:pt>
                <c:pt idx="873">
                  <c:v>42278</c:v>
                </c:pt>
                <c:pt idx="874">
                  <c:v>42285</c:v>
                </c:pt>
                <c:pt idx="875">
                  <c:v>42292</c:v>
                </c:pt>
                <c:pt idx="876">
                  <c:v>42299</c:v>
                </c:pt>
                <c:pt idx="877">
                  <c:v>42306</c:v>
                </c:pt>
                <c:pt idx="878">
                  <c:v>42313</c:v>
                </c:pt>
                <c:pt idx="879">
                  <c:v>42320</c:v>
                </c:pt>
                <c:pt idx="880">
                  <c:v>42327</c:v>
                </c:pt>
                <c:pt idx="881">
                  <c:v>42334</c:v>
                </c:pt>
                <c:pt idx="882">
                  <c:v>42341</c:v>
                </c:pt>
                <c:pt idx="883">
                  <c:v>42348</c:v>
                </c:pt>
                <c:pt idx="884">
                  <c:v>42355</c:v>
                </c:pt>
                <c:pt idx="885">
                  <c:v>42362</c:v>
                </c:pt>
                <c:pt idx="886">
                  <c:v>42369</c:v>
                </c:pt>
                <c:pt idx="887">
                  <c:v>42376</c:v>
                </c:pt>
                <c:pt idx="888">
                  <c:v>42383</c:v>
                </c:pt>
                <c:pt idx="889">
                  <c:v>42390</c:v>
                </c:pt>
                <c:pt idx="890">
                  <c:v>42397</c:v>
                </c:pt>
                <c:pt idx="891">
                  <c:v>42404</c:v>
                </c:pt>
                <c:pt idx="892">
                  <c:v>42411</c:v>
                </c:pt>
                <c:pt idx="893">
                  <c:v>42418</c:v>
                </c:pt>
                <c:pt idx="894">
                  <c:v>42425</c:v>
                </c:pt>
                <c:pt idx="895">
                  <c:v>42432</c:v>
                </c:pt>
                <c:pt idx="896">
                  <c:v>42439</c:v>
                </c:pt>
                <c:pt idx="897">
                  <c:v>42446</c:v>
                </c:pt>
                <c:pt idx="898">
                  <c:v>42452</c:v>
                </c:pt>
                <c:pt idx="899">
                  <c:v>42460</c:v>
                </c:pt>
                <c:pt idx="900">
                  <c:v>42467</c:v>
                </c:pt>
                <c:pt idx="901">
                  <c:v>42474</c:v>
                </c:pt>
                <c:pt idx="902">
                  <c:v>42481</c:v>
                </c:pt>
                <c:pt idx="903">
                  <c:v>42488</c:v>
                </c:pt>
                <c:pt idx="904">
                  <c:v>42495</c:v>
                </c:pt>
                <c:pt idx="905">
                  <c:v>42502</c:v>
                </c:pt>
                <c:pt idx="906">
                  <c:v>42509</c:v>
                </c:pt>
                <c:pt idx="907">
                  <c:v>42516</c:v>
                </c:pt>
                <c:pt idx="908">
                  <c:v>42523</c:v>
                </c:pt>
                <c:pt idx="909">
                  <c:v>42530</c:v>
                </c:pt>
                <c:pt idx="910">
                  <c:v>42537</c:v>
                </c:pt>
                <c:pt idx="911">
                  <c:v>42544</c:v>
                </c:pt>
                <c:pt idx="912">
                  <c:v>42551</c:v>
                </c:pt>
                <c:pt idx="913">
                  <c:v>42558</c:v>
                </c:pt>
                <c:pt idx="914">
                  <c:v>42565</c:v>
                </c:pt>
                <c:pt idx="915">
                  <c:v>42572</c:v>
                </c:pt>
                <c:pt idx="916">
                  <c:v>42579</c:v>
                </c:pt>
                <c:pt idx="917">
                  <c:v>42586</c:v>
                </c:pt>
                <c:pt idx="918">
                  <c:v>42593</c:v>
                </c:pt>
                <c:pt idx="919">
                  <c:v>42600</c:v>
                </c:pt>
                <c:pt idx="920">
                  <c:v>42607</c:v>
                </c:pt>
                <c:pt idx="921">
                  <c:v>42614</c:v>
                </c:pt>
                <c:pt idx="922">
                  <c:v>42621</c:v>
                </c:pt>
                <c:pt idx="923">
                  <c:v>42628</c:v>
                </c:pt>
                <c:pt idx="924">
                  <c:v>42635</c:v>
                </c:pt>
                <c:pt idx="925">
                  <c:v>42642</c:v>
                </c:pt>
                <c:pt idx="926">
                  <c:v>42649</c:v>
                </c:pt>
                <c:pt idx="927">
                  <c:v>42656</c:v>
                </c:pt>
                <c:pt idx="928">
                  <c:v>42663</c:v>
                </c:pt>
                <c:pt idx="929">
                  <c:v>42670</c:v>
                </c:pt>
                <c:pt idx="930">
                  <c:v>42677</c:v>
                </c:pt>
                <c:pt idx="931">
                  <c:v>42684</c:v>
                </c:pt>
                <c:pt idx="932">
                  <c:v>42691</c:v>
                </c:pt>
                <c:pt idx="933">
                  <c:v>42698</c:v>
                </c:pt>
                <c:pt idx="934">
                  <c:v>42705</c:v>
                </c:pt>
                <c:pt idx="935">
                  <c:v>42712</c:v>
                </c:pt>
                <c:pt idx="936">
                  <c:v>42719</c:v>
                </c:pt>
                <c:pt idx="937">
                  <c:v>42726</c:v>
                </c:pt>
                <c:pt idx="938">
                  <c:v>42733</c:v>
                </c:pt>
                <c:pt idx="939">
                  <c:v>42740</c:v>
                </c:pt>
                <c:pt idx="940">
                  <c:v>42747</c:v>
                </c:pt>
                <c:pt idx="941">
                  <c:v>42754</c:v>
                </c:pt>
                <c:pt idx="942">
                  <c:v>42761</c:v>
                </c:pt>
                <c:pt idx="943">
                  <c:v>42768</c:v>
                </c:pt>
                <c:pt idx="944">
                  <c:v>42775</c:v>
                </c:pt>
                <c:pt idx="945">
                  <c:v>42782</c:v>
                </c:pt>
                <c:pt idx="946">
                  <c:v>42789</c:v>
                </c:pt>
                <c:pt idx="947">
                  <c:v>42796</c:v>
                </c:pt>
                <c:pt idx="948">
                  <c:v>42803</c:v>
                </c:pt>
                <c:pt idx="949">
                  <c:v>42810</c:v>
                </c:pt>
                <c:pt idx="950">
                  <c:v>42817</c:v>
                </c:pt>
                <c:pt idx="951">
                  <c:v>42824</c:v>
                </c:pt>
                <c:pt idx="952">
                  <c:v>42831</c:v>
                </c:pt>
                <c:pt idx="953">
                  <c:v>42837</c:v>
                </c:pt>
                <c:pt idx="954">
                  <c:v>42845</c:v>
                </c:pt>
                <c:pt idx="955">
                  <c:v>42852</c:v>
                </c:pt>
                <c:pt idx="956">
                  <c:v>42859</c:v>
                </c:pt>
                <c:pt idx="957">
                  <c:v>42866</c:v>
                </c:pt>
                <c:pt idx="958">
                  <c:v>42873</c:v>
                </c:pt>
                <c:pt idx="959">
                  <c:v>42880</c:v>
                </c:pt>
                <c:pt idx="960">
                  <c:v>42887</c:v>
                </c:pt>
                <c:pt idx="961">
                  <c:v>42894</c:v>
                </c:pt>
                <c:pt idx="962">
                  <c:v>42901</c:v>
                </c:pt>
                <c:pt idx="963">
                  <c:v>42908</c:v>
                </c:pt>
                <c:pt idx="964">
                  <c:v>42915</c:v>
                </c:pt>
                <c:pt idx="965">
                  <c:v>42922</c:v>
                </c:pt>
                <c:pt idx="966">
                  <c:v>42929</c:v>
                </c:pt>
                <c:pt idx="967">
                  <c:v>42936</c:v>
                </c:pt>
                <c:pt idx="968">
                  <c:v>42943</c:v>
                </c:pt>
                <c:pt idx="969">
                  <c:v>42950</c:v>
                </c:pt>
                <c:pt idx="970">
                  <c:v>42957</c:v>
                </c:pt>
                <c:pt idx="971">
                  <c:v>42964</c:v>
                </c:pt>
                <c:pt idx="972">
                  <c:v>42971</c:v>
                </c:pt>
                <c:pt idx="973">
                  <c:v>42978</c:v>
                </c:pt>
                <c:pt idx="974">
                  <c:v>42985</c:v>
                </c:pt>
                <c:pt idx="975">
                  <c:v>42992</c:v>
                </c:pt>
                <c:pt idx="976">
                  <c:v>42999</c:v>
                </c:pt>
                <c:pt idx="977">
                  <c:v>43006</c:v>
                </c:pt>
                <c:pt idx="978">
                  <c:v>43013</c:v>
                </c:pt>
                <c:pt idx="979">
                  <c:v>43020</c:v>
                </c:pt>
                <c:pt idx="980">
                  <c:v>43027</c:v>
                </c:pt>
                <c:pt idx="981">
                  <c:v>43034</c:v>
                </c:pt>
                <c:pt idx="982">
                  <c:v>43040</c:v>
                </c:pt>
                <c:pt idx="983">
                  <c:v>43048</c:v>
                </c:pt>
                <c:pt idx="984">
                  <c:v>43055</c:v>
                </c:pt>
                <c:pt idx="985">
                  <c:v>43062</c:v>
                </c:pt>
                <c:pt idx="986">
                  <c:v>43069</c:v>
                </c:pt>
                <c:pt idx="987">
                  <c:v>43076</c:v>
                </c:pt>
                <c:pt idx="988">
                  <c:v>43083</c:v>
                </c:pt>
                <c:pt idx="989">
                  <c:v>43090</c:v>
                </c:pt>
                <c:pt idx="990">
                  <c:v>43097</c:v>
                </c:pt>
                <c:pt idx="991">
                  <c:v>43104</c:v>
                </c:pt>
                <c:pt idx="992">
                  <c:v>43111</c:v>
                </c:pt>
                <c:pt idx="993">
                  <c:v>43118</c:v>
                </c:pt>
                <c:pt idx="994">
                  <c:v>43125</c:v>
                </c:pt>
                <c:pt idx="995">
                  <c:v>43132</c:v>
                </c:pt>
                <c:pt idx="996">
                  <c:v>43139</c:v>
                </c:pt>
                <c:pt idx="997">
                  <c:v>43146</c:v>
                </c:pt>
                <c:pt idx="998">
                  <c:v>43153</c:v>
                </c:pt>
                <c:pt idx="999">
                  <c:v>43160</c:v>
                </c:pt>
                <c:pt idx="1000">
                  <c:v>43167</c:v>
                </c:pt>
                <c:pt idx="1001">
                  <c:v>43174</c:v>
                </c:pt>
                <c:pt idx="1002">
                  <c:v>43181</c:v>
                </c:pt>
                <c:pt idx="1003">
                  <c:v>43187</c:v>
                </c:pt>
                <c:pt idx="1004">
                  <c:v>43195</c:v>
                </c:pt>
                <c:pt idx="1005">
                  <c:v>43202</c:v>
                </c:pt>
                <c:pt idx="1006">
                  <c:v>43209</c:v>
                </c:pt>
                <c:pt idx="1007">
                  <c:v>43216</c:v>
                </c:pt>
                <c:pt idx="1008">
                  <c:v>43223</c:v>
                </c:pt>
                <c:pt idx="1009">
                  <c:v>43230</c:v>
                </c:pt>
                <c:pt idx="1010">
                  <c:v>43237</c:v>
                </c:pt>
                <c:pt idx="1011">
                  <c:v>43244</c:v>
                </c:pt>
                <c:pt idx="1012">
                  <c:v>43251</c:v>
                </c:pt>
                <c:pt idx="1013">
                  <c:v>43258</c:v>
                </c:pt>
                <c:pt idx="1014">
                  <c:v>43265</c:v>
                </c:pt>
                <c:pt idx="1015">
                  <c:v>43272</c:v>
                </c:pt>
                <c:pt idx="1016">
                  <c:v>43279</c:v>
                </c:pt>
                <c:pt idx="1017">
                  <c:v>43286</c:v>
                </c:pt>
                <c:pt idx="1018">
                  <c:v>43293</c:v>
                </c:pt>
                <c:pt idx="1019">
                  <c:v>43300</c:v>
                </c:pt>
                <c:pt idx="1020">
                  <c:v>43307</c:v>
                </c:pt>
                <c:pt idx="1021">
                  <c:v>43314</c:v>
                </c:pt>
                <c:pt idx="1022">
                  <c:v>43321</c:v>
                </c:pt>
                <c:pt idx="1023">
                  <c:v>43328</c:v>
                </c:pt>
                <c:pt idx="1024">
                  <c:v>43335</c:v>
                </c:pt>
                <c:pt idx="1025">
                  <c:v>43342</c:v>
                </c:pt>
                <c:pt idx="1026">
                  <c:v>43349</c:v>
                </c:pt>
                <c:pt idx="1027">
                  <c:v>43356</c:v>
                </c:pt>
                <c:pt idx="1028">
                  <c:v>43363</c:v>
                </c:pt>
                <c:pt idx="1029">
                  <c:v>43370</c:v>
                </c:pt>
                <c:pt idx="1030">
                  <c:v>43377</c:v>
                </c:pt>
                <c:pt idx="1031">
                  <c:v>43384</c:v>
                </c:pt>
                <c:pt idx="1032">
                  <c:v>43391</c:v>
                </c:pt>
                <c:pt idx="1033">
                  <c:v>43398</c:v>
                </c:pt>
                <c:pt idx="1034">
                  <c:v>43405</c:v>
                </c:pt>
                <c:pt idx="1035">
                  <c:v>43412</c:v>
                </c:pt>
                <c:pt idx="1036">
                  <c:v>43419</c:v>
                </c:pt>
                <c:pt idx="1037">
                  <c:v>43426</c:v>
                </c:pt>
                <c:pt idx="1038">
                  <c:v>43433</c:v>
                </c:pt>
                <c:pt idx="1039">
                  <c:v>43440</c:v>
                </c:pt>
                <c:pt idx="1040">
                  <c:v>43447</c:v>
                </c:pt>
                <c:pt idx="1041">
                  <c:v>43454</c:v>
                </c:pt>
                <c:pt idx="1042">
                  <c:v>43461</c:v>
                </c:pt>
                <c:pt idx="1043">
                  <c:v>43468</c:v>
                </c:pt>
                <c:pt idx="1044">
                  <c:v>43475</c:v>
                </c:pt>
                <c:pt idx="1045">
                  <c:v>43482</c:v>
                </c:pt>
                <c:pt idx="1046">
                  <c:v>43489</c:v>
                </c:pt>
                <c:pt idx="1047">
                  <c:v>43496</c:v>
                </c:pt>
                <c:pt idx="1048">
                  <c:v>43503</c:v>
                </c:pt>
                <c:pt idx="1049">
                  <c:v>43510</c:v>
                </c:pt>
                <c:pt idx="1050">
                  <c:v>43517</c:v>
                </c:pt>
                <c:pt idx="1051">
                  <c:v>43524</c:v>
                </c:pt>
                <c:pt idx="1052">
                  <c:v>43531</c:v>
                </c:pt>
                <c:pt idx="1053">
                  <c:v>43538</c:v>
                </c:pt>
                <c:pt idx="1054">
                  <c:v>43545</c:v>
                </c:pt>
                <c:pt idx="1055">
                  <c:v>43552</c:v>
                </c:pt>
                <c:pt idx="1056">
                  <c:v>43559</c:v>
                </c:pt>
                <c:pt idx="1057">
                  <c:v>43566</c:v>
                </c:pt>
                <c:pt idx="1058">
                  <c:v>43572</c:v>
                </c:pt>
                <c:pt idx="1059">
                  <c:v>43580</c:v>
                </c:pt>
                <c:pt idx="1060">
                  <c:v>43587</c:v>
                </c:pt>
                <c:pt idx="1061">
                  <c:v>43594</c:v>
                </c:pt>
                <c:pt idx="1062">
                  <c:v>43601</c:v>
                </c:pt>
                <c:pt idx="1063">
                  <c:v>43608</c:v>
                </c:pt>
                <c:pt idx="1064">
                  <c:v>43615</c:v>
                </c:pt>
                <c:pt idx="1065">
                  <c:v>43622</c:v>
                </c:pt>
                <c:pt idx="1066">
                  <c:v>43629</c:v>
                </c:pt>
                <c:pt idx="1067">
                  <c:v>43636</c:v>
                </c:pt>
                <c:pt idx="1068">
                  <c:v>43643</c:v>
                </c:pt>
                <c:pt idx="1069">
                  <c:v>43650</c:v>
                </c:pt>
                <c:pt idx="1070">
                  <c:v>43657</c:v>
                </c:pt>
                <c:pt idx="1071">
                  <c:v>43664</c:v>
                </c:pt>
                <c:pt idx="1072">
                  <c:v>43671</c:v>
                </c:pt>
                <c:pt idx="1073">
                  <c:v>43678</c:v>
                </c:pt>
                <c:pt idx="1074">
                  <c:v>43685</c:v>
                </c:pt>
                <c:pt idx="1075">
                  <c:v>43692</c:v>
                </c:pt>
                <c:pt idx="1076">
                  <c:v>43699</c:v>
                </c:pt>
                <c:pt idx="1077">
                  <c:v>43706</c:v>
                </c:pt>
                <c:pt idx="1078">
                  <c:v>43713</c:v>
                </c:pt>
                <c:pt idx="1079">
                  <c:v>43720</c:v>
                </c:pt>
                <c:pt idx="1080">
                  <c:v>43727</c:v>
                </c:pt>
                <c:pt idx="1081">
                  <c:v>43734</c:v>
                </c:pt>
                <c:pt idx="1082">
                  <c:v>43741</c:v>
                </c:pt>
                <c:pt idx="1083">
                  <c:v>43748</c:v>
                </c:pt>
                <c:pt idx="1084">
                  <c:v>43755</c:v>
                </c:pt>
                <c:pt idx="1085">
                  <c:v>43762</c:v>
                </c:pt>
                <c:pt idx="1086">
                  <c:v>43769</c:v>
                </c:pt>
                <c:pt idx="1087">
                  <c:v>43776</c:v>
                </c:pt>
                <c:pt idx="1088">
                  <c:v>43783</c:v>
                </c:pt>
                <c:pt idx="1089">
                  <c:v>43790</c:v>
                </c:pt>
                <c:pt idx="1090">
                  <c:v>43797</c:v>
                </c:pt>
                <c:pt idx="1091">
                  <c:v>43804</c:v>
                </c:pt>
                <c:pt idx="1092">
                  <c:v>43810</c:v>
                </c:pt>
                <c:pt idx="1093">
                  <c:v>43818</c:v>
                </c:pt>
                <c:pt idx="1094">
                  <c:v>43825</c:v>
                </c:pt>
                <c:pt idx="1095">
                  <c:v>43832</c:v>
                </c:pt>
                <c:pt idx="1096">
                  <c:v>43839</c:v>
                </c:pt>
                <c:pt idx="1097">
                  <c:v>43846</c:v>
                </c:pt>
                <c:pt idx="1098">
                  <c:v>43853</c:v>
                </c:pt>
                <c:pt idx="1099">
                  <c:v>43860</c:v>
                </c:pt>
                <c:pt idx="1100">
                  <c:v>43867</c:v>
                </c:pt>
                <c:pt idx="1101">
                  <c:v>43874</c:v>
                </c:pt>
                <c:pt idx="1102">
                  <c:v>43881</c:v>
                </c:pt>
                <c:pt idx="1103">
                  <c:v>43888</c:v>
                </c:pt>
                <c:pt idx="1104">
                  <c:v>43895</c:v>
                </c:pt>
                <c:pt idx="1105">
                  <c:v>43902</c:v>
                </c:pt>
                <c:pt idx="1106">
                  <c:v>43909</c:v>
                </c:pt>
                <c:pt idx="1107">
                  <c:v>43916</c:v>
                </c:pt>
                <c:pt idx="1108">
                  <c:v>43923</c:v>
                </c:pt>
                <c:pt idx="1109">
                  <c:v>43929</c:v>
                </c:pt>
                <c:pt idx="1110">
                  <c:v>43937</c:v>
                </c:pt>
                <c:pt idx="1111">
                  <c:v>43944</c:v>
                </c:pt>
                <c:pt idx="1112">
                  <c:v>43951</c:v>
                </c:pt>
                <c:pt idx="1113">
                  <c:v>43958</c:v>
                </c:pt>
                <c:pt idx="1114">
                  <c:v>43965</c:v>
                </c:pt>
                <c:pt idx="1115">
                  <c:v>43972</c:v>
                </c:pt>
                <c:pt idx="1116">
                  <c:v>43979</c:v>
                </c:pt>
                <c:pt idx="1117">
                  <c:v>43986</c:v>
                </c:pt>
                <c:pt idx="1118">
                  <c:v>43993</c:v>
                </c:pt>
                <c:pt idx="1119">
                  <c:v>44000</c:v>
                </c:pt>
                <c:pt idx="1120">
                  <c:v>44007</c:v>
                </c:pt>
                <c:pt idx="1121">
                  <c:v>44014</c:v>
                </c:pt>
                <c:pt idx="1122">
                  <c:v>44021</c:v>
                </c:pt>
                <c:pt idx="1123">
                  <c:v>44028</c:v>
                </c:pt>
                <c:pt idx="1124">
                  <c:v>44035</c:v>
                </c:pt>
                <c:pt idx="1125">
                  <c:v>44042</c:v>
                </c:pt>
                <c:pt idx="1126">
                  <c:v>44049</c:v>
                </c:pt>
                <c:pt idx="1127">
                  <c:v>44056</c:v>
                </c:pt>
                <c:pt idx="1128">
                  <c:v>44063</c:v>
                </c:pt>
                <c:pt idx="1129">
                  <c:v>44070</c:v>
                </c:pt>
                <c:pt idx="1130">
                  <c:v>44077</c:v>
                </c:pt>
                <c:pt idx="1131">
                  <c:v>44084</c:v>
                </c:pt>
                <c:pt idx="1132">
                  <c:v>44091</c:v>
                </c:pt>
                <c:pt idx="1133">
                  <c:v>44098</c:v>
                </c:pt>
                <c:pt idx="1134">
                  <c:v>44105</c:v>
                </c:pt>
                <c:pt idx="1135">
                  <c:v>44112</c:v>
                </c:pt>
                <c:pt idx="1136">
                  <c:v>44119</c:v>
                </c:pt>
                <c:pt idx="1137">
                  <c:v>44126</c:v>
                </c:pt>
                <c:pt idx="1138">
                  <c:v>44133</c:v>
                </c:pt>
                <c:pt idx="1139">
                  <c:v>44140</c:v>
                </c:pt>
                <c:pt idx="1140">
                  <c:v>44147</c:v>
                </c:pt>
                <c:pt idx="1141">
                  <c:v>44154</c:v>
                </c:pt>
                <c:pt idx="1142">
                  <c:v>44161</c:v>
                </c:pt>
                <c:pt idx="1143">
                  <c:v>44168</c:v>
                </c:pt>
                <c:pt idx="1144">
                  <c:v>44175</c:v>
                </c:pt>
                <c:pt idx="1145">
                  <c:v>44182</c:v>
                </c:pt>
                <c:pt idx="1146">
                  <c:v>44189</c:v>
                </c:pt>
                <c:pt idx="1147">
                  <c:v>44196</c:v>
                </c:pt>
                <c:pt idx="1148">
                  <c:v>44203</c:v>
                </c:pt>
                <c:pt idx="1149">
                  <c:v>44210</c:v>
                </c:pt>
                <c:pt idx="1150">
                  <c:v>44217</c:v>
                </c:pt>
                <c:pt idx="1151">
                  <c:v>44224</c:v>
                </c:pt>
                <c:pt idx="1152">
                  <c:v>44231</c:v>
                </c:pt>
                <c:pt idx="1153">
                  <c:v>44238</c:v>
                </c:pt>
                <c:pt idx="1154">
                  <c:v>44245</c:v>
                </c:pt>
                <c:pt idx="1155">
                  <c:v>44252</c:v>
                </c:pt>
                <c:pt idx="1156">
                  <c:v>44259</c:v>
                </c:pt>
                <c:pt idx="1157">
                  <c:v>44266</c:v>
                </c:pt>
                <c:pt idx="1158">
                  <c:v>44273</c:v>
                </c:pt>
                <c:pt idx="1159">
                  <c:v>44280</c:v>
                </c:pt>
                <c:pt idx="1160">
                  <c:v>44286</c:v>
                </c:pt>
                <c:pt idx="1161">
                  <c:v>44294</c:v>
                </c:pt>
                <c:pt idx="1162">
                  <c:v>44301</c:v>
                </c:pt>
                <c:pt idx="1163">
                  <c:v>44308</c:v>
                </c:pt>
                <c:pt idx="1164">
                  <c:v>44315</c:v>
                </c:pt>
                <c:pt idx="1165">
                  <c:v>44322</c:v>
                </c:pt>
                <c:pt idx="1166">
                  <c:v>44329</c:v>
                </c:pt>
                <c:pt idx="1167">
                  <c:v>44336</c:v>
                </c:pt>
                <c:pt idx="1168">
                  <c:v>44343</c:v>
                </c:pt>
                <c:pt idx="1169">
                  <c:v>44350</c:v>
                </c:pt>
                <c:pt idx="1170">
                  <c:v>44357</c:v>
                </c:pt>
                <c:pt idx="1171">
                  <c:v>44364</c:v>
                </c:pt>
                <c:pt idx="1172">
                  <c:v>44371</c:v>
                </c:pt>
                <c:pt idx="1173">
                  <c:v>44378</c:v>
                </c:pt>
                <c:pt idx="1174">
                  <c:v>44385</c:v>
                </c:pt>
                <c:pt idx="1175">
                  <c:v>44392</c:v>
                </c:pt>
                <c:pt idx="1176">
                  <c:v>44399</c:v>
                </c:pt>
                <c:pt idx="1177">
                  <c:v>44406</c:v>
                </c:pt>
                <c:pt idx="1178">
                  <c:v>44413</c:v>
                </c:pt>
                <c:pt idx="1179">
                  <c:v>44420</c:v>
                </c:pt>
                <c:pt idx="1180">
                  <c:v>44427</c:v>
                </c:pt>
                <c:pt idx="1181">
                  <c:v>44434</c:v>
                </c:pt>
                <c:pt idx="1182">
                  <c:v>44441</c:v>
                </c:pt>
                <c:pt idx="1183">
                  <c:v>44448</c:v>
                </c:pt>
                <c:pt idx="1184">
                  <c:v>44454</c:v>
                </c:pt>
                <c:pt idx="1185">
                  <c:v>44462</c:v>
                </c:pt>
                <c:pt idx="1186">
                  <c:v>44469</c:v>
                </c:pt>
                <c:pt idx="1187">
                  <c:v>44476</c:v>
                </c:pt>
                <c:pt idx="1188">
                  <c:v>44483</c:v>
                </c:pt>
                <c:pt idx="1189">
                  <c:v>44490</c:v>
                </c:pt>
                <c:pt idx="1190">
                  <c:v>44497</c:v>
                </c:pt>
                <c:pt idx="1191">
                  <c:v>44504</c:v>
                </c:pt>
                <c:pt idx="1192">
                  <c:v>44511</c:v>
                </c:pt>
                <c:pt idx="1193">
                  <c:v>44518</c:v>
                </c:pt>
                <c:pt idx="1194">
                  <c:v>44525</c:v>
                </c:pt>
                <c:pt idx="1195">
                  <c:v>44532</c:v>
                </c:pt>
                <c:pt idx="1196">
                  <c:v>44539</c:v>
                </c:pt>
                <c:pt idx="1197">
                  <c:v>44546</c:v>
                </c:pt>
                <c:pt idx="1198">
                  <c:v>44553</c:v>
                </c:pt>
                <c:pt idx="1199">
                  <c:v>44560</c:v>
                </c:pt>
                <c:pt idx="1200">
                  <c:v>44567</c:v>
                </c:pt>
                <c:pt idx="1201">
                  <c:v>44574</c:v>
                </c:pt>
                <c:pt idx="1202">
                  <c:v>44581</c:v>
                </c:pt>
                <c:pt idx="1203">
                  <c:v>44588</c:v>
                </c:pt>
                <c:pt idx="1204">
                  <c:v>44595</c:v>
                </c:pt>
                <c:pt idx="1205">
                  <c:v>44602</c:v>
                </c:pt>
                <c:pt idx="1206">
                  <c:v>44609</c:v>
                </c:pt>
                <c:pt idx="1207">
                  <c:v>44616</c:v>
                </c:pt>
                <c:pt idx="1208">
                  <c:v>44623</c:v>
                </c:pt>
                <c:pt idx="1209">
                  <c:v>44630</c:v>
                </c:pt>
                <c:pt idx="1210">
                  <c:v>44637</c:v>
                </c:pt>
                <c:pt idx="1211">
                  <c:v>44644</c:v>
                </c:pt>
                <c:pt idx="1212">
                  <c:v>44651</c:v>
                </c:pt>
                <c:pt idx="1213">
                  <c:v>44658</c:v>
                </c:pt>
                <c:pt idx="1214">
                  <c:v>44664</c:v>
                </c:pt>
                <c:pt idx="1215">
                  <c:v>44672</c:v>
                </c:pt>
                <c:pt idx="1216">
                  <c:v>44679</c:v>
                </c:pt>
                <c:pt idx="1217">
                  <c:v>44686</c:v>
                </c:pt>
                <c:pt idx="1218">
                  <c:v>44693</c:v>
                </c:pt>
                <c:pt idx="1219">
                  <c:v>44700</c:v>
                </c:pt>
                <c:pt idx="1220">
                  <c:v>44707</c:v>
                </c:pt>
                <c:pt idx="1221">
                  <c:v>44714</c:v>
                </c:pt>
                <c:pt idx="1222">
                  <c:v>44721</c:v>
                </c:pt>
                <c:pt idx="1223">
                  <c:v>44728</c:v>
                </c:pt>
                <c:pt idx="1224">
                  <c:v>44735</c:v>
                </c:pt>
                <c:pt idx="1225">
                  <c:v>44742</c:v>
                </c:pt>
                <c:pt idx="1226">
                  <c:v>44749</c:v>
                </c:pt>
                <c:pt idx="1227">
                  <c:v>44756</c:v>
                </c:pt>
                <c:pt idx="1228">
                  <c:v>44763</c:v>
                </c:pt>
                <c:pt idx="1229">
                  <c:v>44770</c:v>
                </c:pt>
                <c:pt idx="1230">
                  <c:v>44777</c:v>
                </c:pt>
                <c:pt idx="1231">
                  <c:v>44784</c:v>
                </c:pt>
                <c:pt idx="1232">
                  <c:v>44791</c:v>
                </c:pt>
                <c:pt idx="1233">
                  <c:v>44798</c:v>
                </c:pt>
                <c:pt idx="1234">
                  <c:v>44805</c:v>
                </c:pt>
                <c:pt idx="1235">
                  <c:v>44812</c:v>
                </c:pt>
                <c:pt idx="1236">
                  <c:v>44819</c:v>
                </c:pt>
                <c:pt idx="1237">
                  <c:v>44826</c:v>
                </c:pt>
                <c:pt idx="1238">
                  <c:v>44833</c:v>
                </c:pt>
                <c:pt idx="1239">
                  <c:v>44840</c:v>
                </c:pt>
                <c:pt idx="1240">
                  <c:v>44847</c:v>
                </c:pt>
                <c:pt idx="1241">
                  <c:v>44854</c:v>
                </c:pt>
                <c:pt idx="1242">
                  <c:v>44861</c:v>
                </c:pt>
                <c:pt idx="1243">
                  <c:v>44868</c:v>
                </c:pt>
                <c:pt idx="1244">
                  <c:v>44875</c:v>
                </c:pt>
                <c:pt idx="1245">
                  <c:v>44882</c:v>
                </c:pt>
                <c:pt idx="1246">
                  <c:v>44889</c:v>
                </c:pt>
                <c:pt idx="1247">
                  <c:v>44896</c:v>
                </c:pt>
                <c:pt idx="1248">
                  <c:v>44903</c:v>
                </c:pt>
                <c:pt idx="1249">
                  <c:v>44910</c:v>
                </c:pt>
                <c:pt idx="1250">
                  <c:v>44917</c:v>
                </c:pt>
                <c:pt idx="1251">
                  <c:v>44924</c:v>
                </c:pt>
                <c:pt idx="1252">
                  <c:v>44931</c:v>
                </c:pt>
                <c:pt idx="1253">
                  <c:v>44938</c:v>
                </c:pt>
                <c:pt idx="1254">
                  <c:v>44945</c:v>
                </c:pt>
                <c:pt idx="1255">
                  <c:v>44952</c:v>
                </c:pt>
                <c:pt idx="1256">
                  <c:v>44959</c:v>
                </c:pt>
                <c:pt idx="1257">
                  <c:v>44966</c:v>
                </c:pt>
                <c:pt idx="1258">
                  <c:v>44973</c:v>
                </c:pt>
                <c:pt idx="1259">
                  <c:v>44980</c:v>
                </c:pt>
                <c:pt idx="1260">
                  <c:v>44987</c:v>
                </c:pt>
                <c:pt idx="1261">
                  <c:v>44994</c:v>
                </c:pt>
                <c:pt idx="1262">
                  <c:v>45001</c:v>
                </c:pt>
                <c:pt idx="1263">
                  <c:v>45008</c:v>
                </c:pt>
                <c:pt idx="1264">
                  <c:v>45015</c:v>
                </c:pt>
                <c:pt idx="1265">
                  <c:v>45021</c:v>
                </c:pt>
                <c:pt idx="1266">
                  <c:v>45029</c:v>
                </c:pt>
                <c:pt idx="1267">
                  <c:v>45036</c:v>
                </c:pt>
                <c:pt idx="1268">
                  <c:v>45043</c:v>
                </c:pt>
                <c:pt idx="1269">
                  <c:v>45050</c:v>
                </c:pt>
                <c:pt idx="1270">
                  <c:v>45057</c:v>
                </c:pt>
                <c:pt idx="1271">
                  <c:v>45064</c:v>
                </c:pt>
                <c:pt idx="1272">
                  <c:v>45071</c:v>
                </c:pt>
                <c:pt idx="1273">
                  <c:v>45078</c:v>
                </c:pt>
                <c:pt idx="1274">
                  <c:v>45085</c:v>
                </c:pt>
                <c:pt idx="1275">
                  <c:v>45092</c:v>
                </c:pt>
                <c:pt idx="1276">
                  <c:v>45099</c:v>
                </c:pt>
                <c:pt idx="1277">
                  <c:v>45106</c:v>
                </c:pt>
                <c:pt idx="1278">
                  <c:v>45113</c:v>
                </c:pt>
                <c:pt idx="1279">
                  <c:v>45120</c:v>
                </c:pt>
                <c:pt idx="1280">
                  <c:v>45127</c:v>
                </c:pt>
                <c:pt idx="1281">
                  <c:v>45134</c:v>
                </c:pt>
                <c:pt idx="1282">
                  <c:v>45141</c:v>
                </c:pt>
                <c:pt idx="1283">
                  <c:v>45148</c:v>
                </c:pt>
                <c:pt idx="1284">
                  <c:v>45155</c:v>
                </c:pt>
                <c:pt idx="1285">
                  <c:v>45162</c:v>
                </c:pt>
                <c:pt idx="1286">
                  <c:v>45169</c:v>
                </c:pt>
                <c:pt idx="1287">
                  <c:v>45176</c:v>
                </c:pt>
                <c:pt idx="1288">
                  <c:v>45183</c:v>
                </c:pt>
                <c:pt idx="1289">
                  <c:v>45190</c:v>
                </c:pt>
                <c:pt idx="1290">
                  <c:v>45197</c:v>
                </c:pt>
                <c:pt idx="1291">
                  <c:v>45204</c:v>
                </c:pt>
                <c:pt idx="1292">
                  <c:v>45211</c:v>
                </c:pt>
                <c:pt idx="1293">
                  <c:v>45218</c:v>
                </c:pt>
                <c:pt idx="1294">
                  <c:v>45225</c:v>
                </c:pt>
                <c:pt idx="1295">
                  <c:v>45231</c:v>
                </c:pt>
                <c:pt idx="1296">
                  <c:v>45239</c:v>
                </c:pt>
                <c:pt idx="1297">
                  <c:v>45246</c:v>
                </c:pt>
                <c:pt idx="1298">
                  <c:v>45253</c:v>
                </c:pt>
                <c:pt idx="1299">
                  <c:v>45260</c:v>
                </c:pt>
                <c:pt idx="1300">
                  <c:v>45267</c:v>
                </c:pt>
                <c:pt idx="1301">
                  <c:v>45274</c:v>
                </c:pt>
                <c:pt idx="1302">
                  <c:v>45281</c:v>
                </c:pt>
                <c:pt idx="1303">
                  <c:v>45288</c:v>
                </c:pt>
                <c:pt idx="1304">
                  <c:v>45295</c:v>
                </c:pt>
                <c:pt idx="1305">
                  <c:v>45302</c:v>
                </c:pt>
                <c:pt idx="1306">
                  <c:v>45309</c:v>
                </c:pt>
                <c:pt idx="1307">
                  <c:v>45316</c:v>
                </c:pt>
                <c:pt idx="1308">
                  <c:v>45323</c:v>
                </c:pt>
                <c:pt idx="1309">
                  <c:v>45330</c:v>
                </c:pt>
                <c:pt idx="1310">
                  <c:v>45337</c:v>
                </c:pt>
                <c:pt idx="1311">
                  <c:v>45344</c:v>
                </c:pt>
                <c:pt idx="1312">
                  <c:v>45351</c:v>
                </c:pt>
                <c:pt idx="1313">
                  <c:v>45358</c:v>
                </c:pt>
                <c:pt idx="1314">
                  <c:v>45365</c:v>
                </c:pt>
                <c:pt idx="1315">
                  <c:v>45372</c:v>
                </c:pt>
                <c:pt idx="1316">
                  <c:v>45378</c:v>
                </c:pt>
                <c:pt idx="1317">
                  <c:v>45386</c:v>
                </c:pt>
                <c:pt idx="1318">
                  <c:v>45393</c:v>
                </c:pt>
                <c:pt idx="1319">
                  <c:v>45400</c:v>
                </c:pt>
                <c:pt idx="1320">
                  <c:v>45407</c:v>
                </c:pt>
                <c:pt idx="1321">
                  <c:v>45414</c:v>
                </c:pt>
                <c:pt idx="1322">
                  <c:v>45421</c:v>
                </c:pt>
                <c:pt idx="1323">
                  <c:v>45428</c:v>
                </c:pt>
                <c:pt idx="1324">
                  <c:v>45435</c:v>
                </c:pt>
                <c:pt idx="1325">
                  <c:v>45442</c:v>
                </c:pt>
                <c:pt idx="1326">
                  <c:v>45449</c:v>
                </c:pt>
                <c:pt idx="1327">
                  <c:v>45456</c:v>
                </c:pt>
                <c:pt idx="1328">
                  <c:v>45463</c:v>
                </c:pt>
                <c:pt idx="1329">
                  <c:v>45470</c:v>
                </c:pt>
                <c:pt idx="1330">
                  <c:v>45477</c:v>
                </c:pt>
                <c:pt idx="1331">
                  <c:v>45484</c:v>
                </c:pt>
                <c:pt idx="1332">
                  <c:v>45491</c:v>
                </c:pt>
                <c:pt idx="1333">
                  <c:v>45498</c:v>
                </c:pt>
                <c:pt idx="1334">
                  <c:v>45505</c:v>
                </c:pt>
                <c:pt idx="1335">
                  <c:v>45512</c:v>
                </c:pt>
                <c:pt idx="1336">
                  <c:v>45519</c:v>
                </c:pt>
                <c:pt idx="1337">
                  <c:v>45526</c:v>
                </c:pt>
                <c:pt idx="1338">
                  <c:v>45533</c:v>
                </c:pt>
                <c:pt idx="1339">
                  <c:v>45540</c:v>
                </c:pt>
                <c:pt idx="1340">
                  <c:v>45547</c:v>
                </c:pt>
                <c:pt idx="1341">
                  <c:v>45554</c:v>
                </c:pt>
                <c:pt idx="1342">
                  <c:v>45561</c:v>
                </c:pt>
                <c:pt idx="1343">
                  <c:v>45568</c:v>
                </c:pt>
                <c:pt idx="1344">
                  <c:v>45575</c:v>
                </c:pt>
                <c:pt idx="1345">
                  <c:v>45582</c:v>
                </c:pt>
                <c:pt idx="1346">
                  <c:v>45589</c:v>
                </c:pt>
                <c:pt idx="1347">
                  <c:v>45596</c:v>
                </c:pt>
                <c:pt idx="1348">
                  <c:v>45603</c:v>
                </c:pt>
                <c:pt idx="1349">
                  <c:v>45610</c:v>
                </c:pt>
                <c:pt idx="1350">
                  <c:v>45617</c:v>
                </c:pt>
                <c:pt idx="1351">
                  <c:v>45624</c:v>
                </c:pt>
                <c:pt idx="1352">
                  <c:v>45631</c:v>
                </c:pt>
                <c:pt idx="1353">
                  <c:v>45637</c:v>
                </c:pt>
                <c:pt idx="1354">
                  <c:v>45645</c:v>
                </c:pt>
                <c:pt idx="1355">
                  <c:v>45652</c:v>
                </c:pt>
              </c:numCache>
            </c:numRef>
          </c:xVal>
          <c:yVal>
            <c:numRef>
              <c:f>CETES!$B$19:$B$1374</c:f>
              <c:numCache>
                <c:formatCode>#,##0.00</c:formatCode>
                <c:ptCount val="1356"/>
                <c:pt idx="0">
                  <c:v>29.29</c:v>
                </c:pt>
                <c:pt idx="1">
                  <c:v>32.71</c:v>
                </c:pt>
                <c:pt idx="2">
                  <c:v>33.409999999999997</c:v>
                </c:pt>
                <c:pt idx="3">
                  <c:v>33.090000000000003</c:v>
                </c:pt>
                <c:pt idx="4">
                  <c:v>30.92</c:v>
                </c:pt>
                <c:pt idx="5">
                  <c:v>30.39</c:v>
                </c:pt>
                <c:pt idx="6">
                  <c:v>27</c:v>
                </c:pt>
                <c:pt idx="7">
                  <c:v>26.71</c:v>
                </c:pt>
                <c:pt idx="8">
                  <c:v>26.78</c:v>
                </c:pt>
                <c:pt idx="9">
                  <c:v>24.39</c:v>
                </c:pt>
                <c:pt idx="10">
                  <c:v>22.17</c:v>
                </c:pt>
                <c:pt idx="11">
                  <c:v>22.35</c:v>
                </c:pt>
                <c:pt idx="12">
                  <c:v>21.67</c:v>
                </c:pt>
                <c:pt idx="13">
                  <c:v>20.47</c:v>
                </c:pt>
                <c:pt idx="14">
                  <c:v>20.75</c:v>
                </c:pt>
                <c:pt idx="15">
                  <c:v>19.989999999999998</c:v>
                </c:pt>
                <c:pt idx="16">
                  <c:v>19.93</c:v>
                </c:pt>
                <c:pt idx="17">
                  <c:v>19.93</c:v>
                </c:pt>
                <c:pt idx="18">
                  <c:v>20.079999999999998</c:v>
                </c:pt>
                <c:pt idx="19">
                  <c:v>19.75</c:v>
                </c:pt>
                <c:pt idx="20">
                  <c:v>19.8</c:v>
                </c:pt>
                <c:pt idx="21">
                  <c:v>20.67</c:v>
                </c:pt>
                <c:pt idx="22">
                  <c:v>21.44</c:v>
                </c:pt>
                <c:pt idx="23">
                  <c:v>21.72</c:v>
                </c:pt>
                <c:pt idx="24">
                  <c:v>20.48</c:v>
                </c:pt>
                <c:pt idx="25">
                  <c:v>20.420000000000002</c:v>
                </c:pt>
                <c:pt idx="26">
                  <c:v>19.649999999999999</c:v>
                </c:pt>
                <c:pt idx="27">
                  <c:v>19.66</c:v>
                </c:pt>
                <c:pt idx="28">
                  <c:v>19.420000000000002</c:v>
                </c:pt>
                <c:pt idx="29">
                  <c:v>19.760000000000002</c:v>
                </c:pt>
                <c:pt idx="30">
                  <c:v>20.55</c:v>
                </c:pt>
                <c:pt idx="31">
                  <c:v>21.69</c:v>
                </c:pt>
                <c:pt idx="32">
                  <c:v>20.22</c:v>
                </c:pt>
                <c:pt idx="33">
                  <c:v>19.68</c:v>
                </c:pt>
                <c:pt idx="34">
                  <c:v>19.829999999999998</c:v>
                </c:pt>
                <c:pt idx="35">
                  <c:v>19.72</c:v>
                </c:pt>
                <c:pt idx="36">
                  <c:v>19.649999999999999</c:v>
                </c:pt>
                <c:pt idx="37">
                  <c:v>19.72</c:v>
                </c:pt>
                <c:pt idx="38">
                  <c:v>19.64</c:v>
                </c:pt>
                <c:pt idx="39">
                  <c:v>19.09</c:v>
                </c:pt>
                <c:pt idx="40">
                  <c:v>16.86</c:v>
                </c:pt>
                <c:pt idx="41">
                  <c:v>17.8</c:v>
                </c:pt>
                <c:pt idx="42">
                  <c:v>17.73</c:v>
                </c:pt>
                <c:pt idx="43">
                  <c:v>17.89</c:v>
                </c:pt>
                <c:pt idx="44">
                  <c:v>16.53</c:v>
                </c:pt>
                <c:pt idx="45">
                  <c:v>16.09</c:v>
                </c:pt>
                <c:pt idx="46">
                  <c:v>17.309999999999999</c:v>
                </c:pt>
                <c:pt idx="47">
                  <c:v>16.75</c:v>
                </c:pt>
                <c:pt idx="48">
                  <c:v>16.14</c:v>
                </c:pt>
                <c:pt idx="49">
                  <c:v>16.43</c:v>
                </c:pt>
                <c:pt idx="50">
                  <c:v>16.68</c:v>
                </c:pt>
                <c:pt idx="51">
                  <c:v>16.25</c:v>
                </c:pt>
                <c:pt idx="52">
                  <c:v>16.41</c:v>
                </c:pt>
                <c:pt idx="53">
                  <c:v>15.62</c:v>
                </c:pt>
                <c:pt idx="54">
                  <c:v>15.98</c:v>
                </c:pt>
                <c:pt idx="55">
                  <c:v>16.760000000000002</c:v>
                </c:pt>
                <c:pt idx="56">
                  <c:v>17</c:v>
                </c:pt>
                <c:pt idx="57">
                  <c:v>15.69</c:v>
                </c:pt>
                <c:pt idx="58">
                  <c:v>15.24</c:v>
                </c:pt>
                <c:pt idx="59">
                  <c:v>15.29</c:v>
                </c:pt>
                <c:pt idx="60">
                  <c:v>14.96</c:v>
                </c:pt>
                <c:pt idx="61">
                  <c:v>13.95</c:v>
                </c:pt>
                <c:pt idx="62">
                  <c:v>13.31</c:v>
                </c:pt>
                <c:pt idx="63">
                  <c:v>13.21</c:v>
                </c:pt>
                <c:pt idx="64">
                  <c:v>12.88</c:v>
                </c:pt>
                <c:pt idx="65">
                  <c:v>12.92</c:v>
                </c:pt>
                <c:pt idx="66">
                  <c:v>12.76</c:v>
                </c:pt>
                <c:pt idx="67">
                  <c:v>13.26</c:v>
                </c:pt>
                <c:pt idx="68">
                  <c:v>12.77</c:v>
                </c:pt>
                <c:pt idx="69">
                  <c:v>12.84</c:v>
                </c:pt>
                <c:pt idx="70">
                  <c:v>14.54</c:v>
                </c:pt>
                <c:pt idx="71">
                  <c:v>13.98</c:v>
                </c:pt>
                <c:pt idx="72">
                  <c:v>15.36</c:v>
                </c:pt>
                <c:pt idx="73">
                  <c:v>15.45</c:v>
                </c:pt>
                <c:pt idx="74">
                  <c:v>14.7</c:v>
                </c:pt>
                <c:pt idx="75">
                  <c:v>15.34</c:v>
                </c:pt>
                <c:pt idx="76">
                  <c:v>15.76</c:v>
                </c:pt>
                <c:pt idx="77">
                  <c:v>17.010000000000002</c:v>
                </c:pt>
                <c:pt idx="78">
                  <c:v>14.3</c:v>
                </c:pt>
                <c:pt idx="79">
                  <c:v>13.35</c:v>
                </c:pt>
                <c:pt idx="80">
                  <c:v>13.71</c:v>
                </c:pt>
                <c:pt idx="81">
                  <c:v>13.55</c:v>
                </c:pt>
                <c:pt idx="82">
                  <c:v>14.81</c:v>
                </c:pt>
                <c:pt idx="83">
                  <c:v>15.22</c:v>
                </c:pt>
                <c:pt idx="84">
                  <c:v>15.65</c:v>
                </c:pt>
                <c:pt idx="85">
                  <c:v>15.46</c:v>
                </c:pt>
                <c:pt idx="86">
                  <c:v>15.01</c:v>
                </c:pt>
                <c:pt idx="87">
                  <c:v>14.63</c:v>
                </c:pt>
                <c:pt idx="88">
                  <c:v>15.01</c:v>
                </c:pt>
                <c:pt idx="89">
                  <c:v>15.5</c:v>
                </c:pt>
                <c:pt idx="90">
                  <c:v>15.1</c:v>
                </c:pt>
                <c:pt idx="91">
                  <c:v>15.22</c:v>
                </c:pt>
                <c:pt idx="92">
                  <c:v>15.2</c:v>
                </c:pt>
                <c:pt idx="93">
                  <c:v>16.21</c:v>
                </c:pt>
                <c:pt idx="94">
                  <c:v>16.87</c:v>
                </c:pt>
                <c:pt idx="95">
                  <c:v>17.12</c:v>
                </c:pt>
                <c:pt idx="96">
                  <c:v>17.32</c:v>
                </c:pt>
                <c:pt idx="97">
                  <c:v>17.47</c:v>
                </c:pt>
                <c:pt idx="98">
                  <c:v>17.8</c:v>
                </c:pt>
                <c:pt idx="99">
                  <c:v>18.079999999999998</c:v>
                </c:pt>
                <c:pt idx="100">
                  <c:v>17.260000000000002</c:v>
                </c:pt>
                <c:pt idx="101">
                  <c:v>16.7</c:v>
                </c:pt>
                <c:pt idx="102">
                  <c:v>16.649999999999999</c:v>
                </c:pt>
                <c:pt idx="103">
                  <c:v>17.59</c:v>
                </c:pt>
                <c:pt idx="104">
                  <c:v>17.86</c:v>
                </c:pt>
                <c:pt idx="105">
                  <c:v>17.07</c:v>
                </c:pt>
                <c:pt idx="106">
                  <c:v>18.39</c:v>
                </c:pt>
                <c:pt idx="107">
                  <c:v>18.22</c:v>
                </c:pt>
                <c:pt idx="108">
                  <c:v>17.82</c:v>
                </c:pt>
                <c:pt idx="109">
                  <c:v>18.010000000000002</c:v>
                </c:pt>
                <c:pt idx="110">
                  <c:v>16.71</c:v>
                </c:pt>
                <c:pt idx="111">
                  <c:v>16.829999999999998</c:v>
                </c:pt>
                <c:pt idx="112">
                  <c:v>15.69</c:v>
                </c:pt>
                <c:pt idx="113">
                  <c:v>15.89</c:v>
                </c:pt>
                <c:pt idx="114">
                  <c:v>15.92</c:v>
                </c:pt>
                <c:pt idx="115">
                  <c:v>16.059999999999999</c:v>
                </c:pt>
                <c:pt idx="116">
                  <c:v>15.43</c:v>
                </c:pt>
                <c:pt idx="117">
                  <c:v>15.38</c:v>
                </c:pt>
                <c:pt idx="118">
                  <c:v>15.48</c:v>
                </c:pt>
                <c:pt idx="119">
                  <c:v>15.06</c:v>
                </c:pt>
                <c:pt idx="120">
                  <c:v>13.92</c:v>
                </c:pt>
                <c:pt idx="121">
                  <c:v>13.25</c:v>
                </c:pt>
                <c:pt idx="122">
                  <c:v>12.94</c:v>
                </c:pt>
                <c:pt idx="123">
                  <c:v>12.61</c:v>
                </c:pt>
                <c:pt idx="124">
                  <c:v>10.210000000000001</c:v>
                </c:pt>
                <c:pt idx="125">
                  <c:v>10.76</c:v>
                </c:pt>
                <c:pt idx="126">
                  <c:v>10.39</c:v>
                </c:pt>
                <c:pt idx="127">
                  <c:v>9.51</c:v>
                </c:pt>
                <c:pt idx="128">
                  <c:v>8.91</c:v>
                </c:pt>
                <c:pt idx="129">
                  <c:v>8.92</c:v>
                </c:pt>
                <c:pt idx="130">
                  <c:v>8.99</c:v>
                </c:pt>
                <c:pt idx="131">
                  <c:v>9.42</c:v>
                </c:pt>
                <c:pt idx="132">
                  <c:v>9.73</c:v>
                </c:pt>
                <c:pt idx="133">
                  <c:v>9.4</c:v>
                </c:pt>
                <c:pt idx="134">
                  <c:v>8.34</c:v>
                </c:pt>
                <c:pt idx="135">
                  <c:v>7.24</c:v>
                </c:pt>
                <c:pt idx="136">
                  <c:v>7.37</c:v>
                </c:pt>
                <c:pt idx="137">
                  <c:v>6.97</c:v>
                </c:pt>
                <c:pt idx="138">
                  <c:v>7.61</c:v>
                </c:pt>
                <c:pt idx="139">
                  <c:v>8.75</c:v>
                </c:pt>
                <c:pt idx="140">
                  <c:v>9.76</c:v>
                </c:pt>
                <c:pt idx="141">
                  <c:v>9.09</c:v>
                </c:pt>
                <c:pt idx="142">
                  <c:v>9.67</c:v>
                </c:pt>
                <c:pt idx="143">
                  <c:v>9.1</c:v>
                </c:pt>
                <c:pt idx="144">
                  <c:v>9.1199999999999992</c:v>
                </c:pt>
                <c:pt idx="145">
                  <c:v>8.1999999999999993</c:v>
                </c:pt>
                <c:pt idx="146">
                  <c:v>7.02</c:v>
                </c:pt>
                <c:pt idx="147">
                  <c:v>7.4</c:v>
                </c:pt>
                <c:pt idx="148">
                  <c:v>7.28</c:v>
                </c:pt>
                <c:pt idx="149">
                  <c:v>7.64</c:v>
                </c:pt>
                <c:pt idx="150">
                  <c:v>7.81</c:v>
                </c:pt>
                <c:pt idx="151">
                  <c:v>7</c:v>
                </c:pt>
                <c:pt idx="152">
                  <c:v>6.18</c:v>
                </c:pt>
                <c:pt idx="153">
                  <c:v>6.18</c:v>
                </c:pt>
                <c:pt idx="154">
                  <c:v>6.03</c:v>
                </c:pt>
                <c:pt idx="155">
                  <c:v>6.75</c:v>
                </c:pt>
                <c:pt idx="156">
                  <c:v>7.35</c:v>
                </c:pt>
                <c:pt idx="157">
                  <c:v>6.48</c:v>
                </c:pt>
                <c:pt idx="158">
                  <c:v>6.41</c:v>
                </c:pt>
                <c:pt idx="159">
                  <c:v>6.78</c:v>
                </c:pt>
                <c:pt idx="160">
                  <c:v>7.85</c:v>
                </c:pt>
                <c:pt idx="161">
                  <c:v>8.15</c:v>
                </c:pt>
                <c:pt idx="162">
                  <c:v>8.2100000000000009</c:v>
                </c:pt>
                <c:pt idx="163">
                  <c:v>7.99</c:v>
                </c:pt>
                <c:pt idx="164">
                  <c:v>7.28</c:v>
                </c:pt>
                <c:pt idx="165">
                  <c:v>6.97</c:v>
                </c:pt>
                <c:pt idx="166">
                  <c:v>6.78</c:v>
                </c:pt>
                <c:pt idx="167">
                  <c:v>7.7</c:v>
                </c:pt>
                <c:pt idx="168">
                  <c:v>7.48</c:v>
                </c:pt>
                <c:pt idx="169">
                  <c:v>6.21</c:v>
                </c:pt>
                <c:pt idx="170">
                  <c:v>5.84</c:v>
                </c:pt>
                <c:pt idx="171">
                  <c:v>5.72</c:v>
                </c:pt>
                <c:pt idx="172">
                  <c:v>5.28</c:v>
                </c:pt>
                <c:pt idx="173">
                  <c:v>5.67</c:v>
                </c:pt>
                <c:pt idx="174">
                  <c:v>6.58</c:v>
                </c:pt>
                <c:pt idx="175">
                  <c:v>6.87</c:v>
                </c:pt>
                <c:pt idx="176">
                  <c:v>6.98</c:v>
                </c:pt>
                <c:pt idx="177">
                  <c:v>6.93</c:v>
                </c:pt>
                <c:pt idx="178">
                  <c:v>7</c:v>
                </c:pt>
                <c:pt idx="179">
                  <c:v>7.23</c:v>
                </c:pt>
                <c:pt idx="180">
                  <c:v>6.89</c:v>
                </c:pt>
                <c:pt idx="181">
                  <c:v>8.06</c:v>
                </c:pt>
                <c:pt idx="182">
                  <c:v>8.1999999999999993</c:v>
                </c:pt>
                <c:pt idx="183">
                  <c:v>7.24</c:v>
                </c:pt>
                <c:pt idx="184">
                  <c:v>7.24</c:v>
                </c:pt>
                <c:pt idx="185">
                  <c:v>6.82</c:v>
                </c:pt>
                <c:pt idx="186">
                  <c:v>6.71</c:v>
                </c:pt>
                <c:pt idx="187">
                  <c:v>6.53</c:v>
                </c:pt>
                <c:pt idx="188">
                  <c:v>6.7</c:v>
                </c:pt>
                <c:pt idx="189">
                  <c:v>6.78</c:v>
                </c:pt>
                <c:pt idx="190">
                  <c:v>6.69</c:v>
                </c:pt>
                <c:pt idx="191">
                  <c:v>6.9</c:v>
                </c:pt>
                <c:pt idx="192">
                  <c:v>6.87</c:v>
                </c:pt>
                <c:pt idx="193">
                  <c:v>6.99</c:v>
                </c:pt>
                <c:pt idx="194">
                  <c:v>8.6</c:v>
                </c:pt>
                <c:pt idx="195">
                  <c:v>7.79</c:v>
                </c:pt>
                <c:pt idx="196">
                  <c:v>7.89</c:v>
                </c:pt>
                <c:pt idx="197">
                  <c:v>7.74</c:v>
                </c:pt>
                <c:pt idx="198">
                  <c:v>7.33</c:v>
                </c:pt>
                <c:pt idx="199">
                  <c:v>7.54</c:v>
                </c:pt>
                <c:pt idx="200">
                  <c:v>7.34</c:v>
                </c:pt>
                <c:pt idx="201">
                  <c:v>7.79</c:v>
                </c:pt>
                <c:pt idx="202">
                  <c:v>7.24</c:v>
                </c:pt>
                <c:pt idx="203">
                  <c:v>6.81</c:v>
                </c:pt>
                <c:pt idx="204">
                  <c:v>6.37</c:v>
                </c:pt>
                <c:pt idx="205">
                  <c:v>7.19</c:v>
                </c:pt>
                <c:pt idx="206">
                  <c:v>6.98</c:v>
                </c:pt>
                <c:pt idx="207">
                  <c:v>6.98</c:v>
                </c:pt>
                <c:pt idx="208">
                  <c:v>7.56</c:v>
                </c:pt>
                <c:pt idx="209">
                  <c:v>7.97</c:v>
                </c:pt>
                <c:pt idx="210">
                  <c:v>8.19</c:v>
                </c:pt>
                <c:pt idx="211">
                  <c:v>8.5399999999999991</c:v>
                </c:pt>
                <c:pt idx="212">
                  <c:v>9.08</c:v>
                </c:pt>
                <c:pt idx="213">
                  <c:v>8.86</c:v>
                </c:pt>
                <c:pt idx="214">
                  <c:v>9.11</c:v>
                </c:pt>
                <c:pt idx="215">
                  <c:v>8.9</c:v>
                </c:pt>
                <c:pt idx="216">
                  <c:v>9.3000000000000007</c:v>
                </c:pt>
                <c:pt idx="217">
                  <c:v>9.6</c:v>
                </c:pt>
                <c:pt idx="218">
                  <c:v>9.6999999999999993</c:v>
                </c:pt>
                <c:pt idx="219">
                  <c:v>8.9600000000000009</c:v>
                </c:pt>
                <c:pt idx="220">
                  <c:v>8.43</c:v>
                </c:pt>
                <c:pt idx="221">
                  <c:v>8.7200000000000006</c:v>
                </c:pt>
                <c:pt idx="222">
                  <c:v>8.25</c:v>
                </c:pt>
                <c:pt idx="223">
                  <c:v>7.99</c:v>
                </c:pt>
                <c:pt idx="224">
                  <c:v>7.62</c:v>
                </c:pt>
                <c:pt idx="225">
                  <c:v>6.73</c:v>
                </c:pt>
                <c:pt idx="226">
                  <c:v>5.82</c:v>
                </c:pt>
                <c:pt idx="227">
                  <c:v>4.9000000000000004</c:v>
                </c:pt>
                <c:pt idx="228">
                  <c:v>5.35</c:v>
                </c:pt>
                <c:pt idx="229">
                  <c:v>4.91</c:v>
                </c:pt>
                <c:pt idx="230">
                  <c:v>4.72</c:v>
                </c:pt>
                <c:pt idx="231">
                  <c:v>5.64</c:v>
                </c:pt>
                <c:pt idx="232">
                  <c:v>5.31</c:v>
                </c:pt>
                <c:pt idx="233">
                  <c:v>5.1100000000000003</c:v>
                </c:pt>
                <c:pt idx="234">
                  <c:v>4.38</c:v>
                </c:pt>
                <c:pt idx="235">
                  <c:v>4.91</c:v>
                </c:pt>
                <c:pt idx="236">
                  <c:v>5.09</c:v>
                </c:pt>
                <c:pt idx="237">
                  <c:v>4.3499999999999996</c:v>
                </c:pt>
                <c:pt idx="238">
                  <c:v>4.1399999999999997</c:v>
                </c:pt>
                <c:pt idx="239">
                  <c:v>4.3099999999999996</c:v>
                </c:pt>
                <c:pt idx="240">
                  <c:v>4.3</c:v>
                </c:pt>
                <c:pt idx="241">
                  <c:v>4.53</c:v>
                </c:pt>
                <c:pt idx="242">
                  <c:v>4.6500000000000004</c:v>
                </c:pt>
                <c:pt idx="243">
                  <c:v>4.9800000000000004</c:v>
                </c:pt>
                <c:pt idx="244">
                  <c:v>4.71</c:v>
                </c:pt>
                <c:pt idx="245">
                  <c:v>4.7699999999999996</c:v>
                </c:pt>
                <c:pt idx="246">
                  <c:v>4.47</c:v>
                </c:pt>
                <c:pt idx="247">
                  <c:v>4.58</c:v>
                </c:pt>
                <c:pt idx="248">
                  <c:v>5.47</c:v>
                </c:pt>
                <c:pt idx="249">
                  <c:v>5.42</c:v>
                </c:pt>
                <c:pt idx="250">
                  <c:v>5.24</c:v>
                </c:pt>
                <c:pt idx="251">
                  <c:v>4.8600000000000003</c:v>
                </c:pt>
                <c:pt idx="252">
                  <c:v>4.4800000000000004</c:v>
                </c:pt>
                <c:pt idx="253">
                  <c:v>4.55</c:v>
                </c:pt>
                <c:pt idx="254">
                  <c:v>5.15</c:v>
                </c:pt>
                <c:pt idx="255">
                  <c:v>5.78</c:v>
                </c:pt>
                <c:pt idx="256">
                  <c:v>6.31</c:v>
                </c:pt>
                <c:pt idx="257">
                  <c:v>5.6</c:v>
                </c:pt>
                <c:pt idx="258">
                  <c:v>6.13</c:v>
                </c:pt>
                <c:pt idx="259">
                  <c:v>6.22</c:v>
                </c:pt>
                <c:pt idx="260">
                  <c:v>6.04</c:v>
                </c:pt>
                <c:pt idx="261">
                  <c:v>5.49</c:v>
                </c:pt>
                <c:pt idx="262">
                  <c:v>4.92</c:v>
                </c:pt>
                <c:pt idx="263">
                  <c:v>4.71</c:v>
                </c:pt>
                <c:pt idx="264">
                  <c:v>4.6900000000000004</c:v>
                </c:pt>
                <c:pt idx="265">
                  <c:v>4.88</c:v>
                </c:pt>
                <c:pt idx="266">
                  <c:v>5.59</c:v>
                </c:pt>
                <c:pt idx="267">
                  <c:v>5.6</c:v>
                </c:pt>
                <c:pt idx="268">
                  <c:v>6.21</c:v>
                </c:pt>
                <c:pt idx="269">
                  <c:v>6.31</c:v>
                </c:pt>
                <c:pt idx="270">
                  <c:v>6</c:v>
                </c:pt>
                <c:pt idx="271">
                  <c:v>6.59</c:v>
                </c:pt>
                <c:pt idx="272">
                  <c:v>6.21</c:v>
                </c:pt>
                <c:pt idx="273">
                  <c:v>6.05</c:v>
                </c:pt>
                <c:pt idx="274">
                  <c:v>5.96</c:v>
                </c:pt>
                <c:pt idx="275">
                  <c:v>5.98</c:v>
                </c:pt>
                <c:pt idx="276">
                  <c:v>5.91</c:v>
                </c:pt>
                <c:pt idx="277">
                  <c:v>6</c:v>
                </c:pt>
                <c:pt idx="278">
                  <c:v>6.47</c:v>
                </c:pt>
                <c:pt idx="279">
                  <c:v>6.94</c:v>
                </c:pt>
                <c:pt idx="280">
                  <c:v>6.55</c:v>
                </c:pt>
                <c:pt idx="281">
                  <c:v>6.41</c:v>
                </c:pt>
                <c:pt idx="282">
                  <c:v>6.57</c:v>
                </c:pt>
                <c:pt idx="283">
                  <c:v>6.59</c:v>
                </c:pt>
                <c:pt idx="284">
                  <c:v>6.54</c:v>
                </c:pt>
                <c:pt idx="285">
                  <c:v>6.58</c:v>
                </c:pt>
                <c:pt idx="286">
                  <c:v>6.8</c:v>
                </c:pt>
                <c:pt idx="287">
                  <c:v>6.69</c:v>
                </c:pt>
                <c:pt idx="288">
                  <c:v>6.69</c:v>
                </c:pt>
                <c:pt idx="289">
                  <c:v>6.71</c:v>
                </c:pt>
                <c:pt idx="290">
                  <c:v>7.16</c:v>
                </c:pt>
                <c:pt idx="291">
                  <c:v>7.17</c:v>
                </c:pt>
                <c:pt idx="292">
                  <c:v>7.23</c:v>
                </c:pt>
                <c:pt idx="293">
                  <c:v>7.13</c:v>
                </c:pt>
                <c:pt idx="294">
                  <c:v>7.32</c:v>
                </c:pt>
                <c:pt idx="295">
                  <c:v>7.29</c:v>
                </c:pt>
                <c:pt idx="296">
                  <c:v>7.32</c:v>
                </c:pt>
                <c:pt idx="297">
                  <c:v>7.27</c:v>
                </c:pt>
                <c:pt idx="298">
                  <c:v>7.31</c:v>
                </c:pt>
                <c:pt idx="299">
                  <c:v>7.61</c:v>
                </c:pt>
                <c:pt idx="300">
                  <c:v>7.65</c:v>
                </c:pt>
                <c:pt idx="301">
                  <c:v>7.65</c:v>
                </c:pt>
                <c:pt idx="302">
                  <c:v>7.76</c:v>
                </c:pt>
                <c:pt idx="303">
                  <c:v>7.97</c:v>
                </c:pt>
                <c:pt idx="304">
                  <c:v>8.02</c:v>
                </c:pt>
                <c:pt idx="305">
                  <c:v>8.1999999999999993</c:v>
                </c:pt>
                <c:pt idx="306">
                  <c:v>8.23</c:v>
                </c:pt>
                <c:pt idx="307">
                  <c:v>8.36</c:v>
                </c:pt>
                <c:pt idx="308">
                  <c:v>8.3699999999999992</c:v>
                </c:pt>
                <c:pt idx="309">
                  <c:v>8.34</c:v>
                </c:pt>
                <c:pt idx="310">
                  <c:v>8.59</c:v>
                </c:pt>
                <c:pt idx="311">
                  <c:v>8.6</c:v>
                </c:pt>
                <c:pt idx="312">
                  <c:v>8.61</c:v>
                </c:pt>
                <c:pt idx="313">
                  <c:v>8.56</c:v>
                </c:pt>
                <c:pt idx="314">
                  <c:v>8.59</c:v>
                </c:pt>
                <c:pt idx="315">
                  <c:v>8.6300000000000008</c:v>
                </c:pt>
                <c:pt idx="316">
                  <c:v>8.6300000000000008</c:v>
                </c:pt>
                <c:pt idx="317">
                  <c:v>9.07</c:v>
                </c:pt>
                <c:pt idx="318">
                  <c:v>9.14</c:v>
                </c:pt>
                <c:pt idx="319">
                  <c:v>9.15</c:v>
                </c:pt>
                <c:pt idx="320">
                  <c:v>9.23</c:v>
                </c:pt>
                <c:pt idx="321">
                  <c:v>9.33</c:v>
                </c:pt>
                <c:pt idx="322">
                  <c:v>9.32</c:v>
                </c:pt>
                <c:pt idx="323">
                  <c:v>9.3699999999999992</c:v>
                </c:pt>
                <c:pt idx="324">
                  <c:v>9.4499999999999993</c:v>
                </c:pt>
                <c:pt idx="325">
                  <c:v>9.57</c:v>
                </c:pt>
                <c:pt idx="326">
                  <c:v>9.64</c:v>
                </c:pt>
                <c:pt idx="327">
                  <c:v>9.59</c:v>
                </c:pt>
                <c:pt idx="328">
                  <c:v>9.66</c:v>
                </c:pt>
                <c:pt idx="329">
                  <c:v>9.61</c:v>
                </c:pt>
                <c:pt idx="330">
                  <c:v>9.77</c:v>
                </c:pt>
                <c:pt idx="331">
                  <c:v>9.81</c:v>
                </c:pt>
                <c:pt idx="332">
                  <c:v>9.73</c:v>
                </c:pt>
                <c:pt idx="333">
                  <c:v>9.69</c:v>
                </c:pt>
                <c:pt idx="334">
                  <c:v>9.64</c:v>
                </c:pt>
                <c:pt idx="335">
                  <c:v>9.64</c:v>
                </c:pt>
                <c:pt idx="336">
                  <c:v>9.6199999999999992</c:v>
                </c:pt>
                <c:pt idx="337">
                  <c:v>9.6199999999999992</c:v>
                </c:pt>
                <c:pt idx="338">
                  <c:v>9.61</c:v>
                </c:pt>
                <c:pt idx="339">
                  <c:v>9.61</c:v>
                </c:pt>
                <c:pt idx="340">
                  <c:v>9.61</c:v>
                </c:pt>
                <c:pt idx="341">
                  <c:v>9.6</c:v>
                </c:pt>
                <c:pt idx="342">
                  <c:v>9.6300000000000008</c:v>
                </c:pt>
                <c:pt idx="343">
                  <c:v>9.6199999999999992</c:v>
                </c:pt>
                <c:pt idx="344">
                  <c:v>9.61</c:v>
                </c:pt>
                <c:pt idx="345">
                  <c:v>9.58</c:v>
                </c:pt>
                <c:pt idx="346">
                  <c:v>9.57</c:v>
                </c:pt>
                <c:pt idx="347">
                  <c:v>9.42</c:v>
                </c:pt>
                <c:pt idx="348">
                  <c:v>9.36</c:v>
                </c:pt>
                <c:pt idx="349">
                  <c:v>9.2100000000000009</c:v>
                </c:pt>
                <c:pt idx="350">
                  <c:v>9.06</c:v>
                </c:pt>
                <c:pt idx="351">
                  <c:v>9.02</c:v>
                </c:pt>
                <c:pt idx="352">
                  <c:v>8.99</c:v>
                </c:pt>
                <c:pt idx="353">
                  <c:v>8.94</c:v>
                </c:pt>
                <c:pt idx="354">
                  <c:v>8.8800000000000008</c:v>
                </c:pt>
                <c:pt idx="355">
                  <c:v>8.82</c:v>
                </c:pt>
                <c:pt idx="356">
                  <c:v>8.8000000000000007</c:v>
                </c:pt>
                <c:pt idx="357">
                  <c:v>8.73</c:v>
                </c:pt>
                <c:pt idx="358">
                  <c:v>8.68</c:v>
                </c:pt>
                <c:pt idx="359">
                  <c:v>8.61</c:v>
                </c:pt>
                <c:pt idx="360">
                  <c:v>8.5</c:v>
                </c:pt>
                <c:pt idx="361">
                  <c:v>8.42</c:v>
                </c:pt>
                <c:pt idx="362">
                  <c:v>8.14</c:v>
                </c:pt>
                <c:pt idx="363">
                  <c:v>8.0299999999999994</c:v>
                </c:pt>
                <c:pt idx="364">
                  <c:v>8.02</c:v>
                </c:pt>
                <c:pt idx="365">
                  <c:v>7.98</c:v>
                </c:pt>
                <c:pt idx="366">
                  <c:v>7.92</c:v>
                </c:pt>
                <c:pt idx="367">
                  <c:v>7.89</c:v>
                </c:pt>
                <c:pt idx="368">
                  <c:v>7.73</c:v>
                </c:pt>
                <c:pt idx="369">
                  <c:v>7.72</c:v>
                </c:pt>
                <c:pt idx="370">
                  <c:v>7.68</c:v>
                </c:pt>
                <c:pt idx="371">
                  <c:v>7.55</c:v>
                </c:pt>
                <c:pt idx="372">
                  <c:v>7.48</c:v>
                </c:pt>
                <c:pt idx="373">
                  <c:v>7.42</c:v>
                </c:pt>
                <c:pt idx="374">
                  <c:v>7.46</c:v>
                </c:pt>
                <c:pt idx="375">
                  <c:v>7.37</c:v>
                </c:pt>
                <c:pt idx="376">
                  <c:v>7.31</c:v>
                </c:pt>
                <c:pt idx="377">
                  <c:v>7.27</c:v>
                </c:pt>
                <c:pt idx="378">
                  <c:v>7.22</c:v>
                </c:pt>
                <c:pt idx="379">
                  <c:v>7.22</c:v>
                </c:pt>
                <c:pt idx="380">
                  <c:v>7.21</c:v>
                </c:pt>
                <c:pt idx="381">
                  <c:v>7.03</c:v>
                </c:pt>
                <c:pt idx="382">
                  <c:v>7.03</c:v>
                </c:pt>
                <c:pt idx="383">
                  <c:v>7.02</c:v>
                </c:pt>
                <c:pt idx="384">
                  <c:v>7.01</c:v>
                </c:pt>
                <c:pt idx="385">
                  <c:v>7.01</c:v>
                </c:pt>
                <c:pt idx="386">
                  <c:v>7.02</c:v>
                </c:pt>
                <c:pt idx="387">
                  <c:v>7.01</c:v>
                </c:pt>
                <c:pt idx="388">
                  <c:v>7.02</c:v>
                </c:pt>
                <c:pt idx="389">
                  <c:v>7.03</c:v>
                </c:pt>
                <c:pt idx="390">
                  <c:v>7.02</c:v>
                </c:pt>
                <c:pt idx="391">
                  <c:v>7.02</c:v>
                </c:pt>
                <c:pt idx="392">
                  <c:v>7.04</c:v>
                </c:pt>
                <c:pt idx="393">
                  <c:v>7.05</c:v>
                </c:pt>
                <c:pt idx="394">
                  <c:v>7.02</c:v>
                </c:pt>
                <c:pt idx="395">
                  <c:v>7.05</c:v>
                </c:pt>
                <c:pt idx="396">
                  <c:v>7.03</c:v>
                </c:pt>
                <c:pt idx="397">
                  <c:v>7.03</c:v>
                </c:pt>
                <c:pt idx="398">
                  <c:v>7.03</c:v>
                </c:pt>
                <c:pt idx="399">
                  <c:v>7.02</c:v>
                </c:pt>
                <c:pt idx="400">
                  <c:v>7.04</c:v>
                </c:pt>
                <c:pt idx="401">
                  <c:v>7.08</c:v>
                </c:pt>
                <c:pt idx="402">
                  <c:v>7.05</c:v>
                </c:pt>
                <c:pt idx="403">
                  <c:v>7.05</c:v>
                </c:pt>
                <c:pt idx="404">
                  <c:v>7.05</c:v>
                </c:pt>
                <c:pt idx="405">
                  <c:v>7.06</c:v>
                </c:pt>
                <c:pt idx="406">
                  <c:v>7.05</c:v>
                </c:pt>
                <c:pt idx="407">
                  <c:v>7.04</c:v>
                </c:pt>
                <c:pt idx="408">
                  <c:v>7.04</c:v>
                </c:pt>
                <c:pt idx="409">
                  <c:v>7.04</c:v>
                </c:pt>
                <c:pt idx="410">
                  <c:v>7.04</c:v>
                </c:pt>
                <c:pt idx="411">
                  <c:v>7.04</c:v>
                </c:pt>
                <c:pt idx="412">
                  <c:v>7.05</c:v>
                </c:pt>
                <c:pt idx="413">
                  <c:v>7.04</c:v>
                </c:pt>
                <c:pt idx="414">
                  <c:v>7.03</c:v>
                </c:pt>
                <c:pt idx="415">
                  <c:v>7.05</c:v>
                </c:pt>
                <c:pt idx="416">
                  <c:v>7.02</c:v>
                </c:pt>
                <c:pt idx="417">
                  <c:v>7.01</c:v>
                </c:pt>
                <c:pt idx="418">
                  <c:v>7.02</c:v>
                </c:pt>
                <c:pt idx="419">
                  <c:v>7.05</c:v>
                </c:pt>
                <c:pt idx="420">
                  <c:v>7.06</c:v>
                </c:pt>
                <c:pt idx="421">
                  <c:v>7.05</c:v>
                </c:pt>
                <c:pt idx="422">
                  <c:v>7.05</c:v>
                </c:pt>
                <c:pt idx="423">
                  <c:v>7.03</c:v>
                </c:pt>
                <c:pt idx="424">
                  <c:v>7.03</c:v>
                </c:pt>
                <c:pt idx="425">
                  <c:v>7.05</c:v>
                </c:pt>
                <c:pt idx="426">
                  <c:v>7.05</c:v>
                </c:pt>
                <c:pt idx="427">
                  <c:v>7.05</c:v>
                </c:pt>
                <c:pt idx="428">
                  <c:v>7.04</c:v>
                </c:pt>
                <c:pt idx="429">
                  <c:v>7.03</c:v>
                </c:pt>
                <c:pt idx="430">
                  <c:v>7.02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7.25</c:v>
                </c:pt>
                <c:pt idx="435">
                  <c:v>7.24</c:v>
                </c:pt>
                <c:pt idx="436">
                  <c:v>7.23</c:v>
                </c:pt>
                <c:pt idx="437">
                  <c:v>7.24</c:v>
                </c:pt>
                <c:pt idx="438">
                  <c:v>7.22</c:v>
                </c:pt>
                <c:pt idx="439">
                  <c:v>7.21</c:v>
                </c:pt>
                <c:pt idx="440">
                  <c:v>7.2</c:v>
                </c:pt>
                <c:pt idx="441">
                  <c:v>7.18</c:v>
                </c:pt>
                <c:pt idx="442">
                  <c:v>7.19</c:v>
                </c:pt>
                <c:pt idx="443">
                  <c:v>7.18</c:v>
                </c:pt>
                <c:pt idx="444">
                  <c:v>7.18</c:v>
                </c:pt>
                <c:pt idx="445">
                  <c:v>7.19</c:v>
                </c:pt>
                <c:pt idx="446">
                  <c:v>7.19</c:v>
                </c:pt>
                <c:pt idx="447">
                  <c:v>7.19</c:v>
                </c:pt>
                <c:pt idx="448">
                  <c:v>7.19</c:v>
                </c:pt>
                <c:pt idx="449">
                  <c:v>7.21</c:v>
                </c:pt>
                <c:pt idx="450">
                  <c:v>7.2</c:v>
                </c:pt>
                <c:pt idx="451">
                  <c:v>7.23</c:v>
                </c:pt>
                <c:pt idx="452">
                  <c:v>7.21</c:v>
                </c:pt>
                <c:pt idx="453">
                  <c:v>7.2</c:v>
                </c:pt>
                <c:pt idx="454">
                  <c:v>7.22</c:v>
                </c:pt>
                <c:pt idx="455">
                  <c:v>7.19</c:v>
                </c:pt>
                <c:pt idx="456">
                  <c:v>7.19</c:v>
                </c:pt>
                <c:pt idx="457">
                  <c:v>7.21</c:v>
                </c:pt>
                <c:pt idx="458">
                  <c:v>7.2</c:v>
                </c:pt>
                <c:pt idx="459">
                  <c:v>7.2</c:v>
                </c:pt>
                <c:pt idx="460">
                  <c:v>7.45</c:v>
                </c:pt>
                <c:pt idx="461">
                  <c:v>7.43</c:v>
                </c:pt>
                <c:pt idx="462">
                  <c:v>7.41</c:v>
                </c:pt>
                <c:pt idx="463">
                  <c:v>7.46</c:v>
                </c:pt>
                <c:pt idx="464">
                  <c:v>7.44</c:v>
                </c:pt>
                <c:pt idx="465">
                  <c:v>7.44</c:v>
                </c:pt>
                <c:pt idx="466">
                  <c:v>7.43</c:v>
                </c:pt>
                <c:pt idx="467">
                  <c:v>7.44</c:v>
                </c:pt>
                <c:pt idx="468">
                  <c:v>7.44</c:v>
                </c:pt>
                <c:pt idx="469">
                  <c:v>7.43</c:v>
                </c:pt>
                <c:pt idx="470">
                  <c:v>7.42</c:v>
                </c:pt>
                <c:pt idx="471">
                  <c:v>7.41</c:v>
                </c:pt>
                <c:pt idx="472">
                  <c:v>7.39</c:v>
                </c:pt>
                <c:pt idx="473">
                  <c:v>7.43</c:v>
                </c:pt>
                <c:pt idx="474">
                  <c:v>7.42</c:v>
                </c:pt>
                <c:pt idx="475">
                  <c:v>7.44</c:v>
                </c:pt>
                <c:pt idx="476">
                  <c:v>7.43</c:v>
                </c:pt>
                <c:pt idx="477">
                  <c:v>7.42</c:v>
                </c:pt>
                <c:pt idx="478">
                  <c:v>7.42</c:v>
                </c:pt>
                <c:pt idx="479">
                  <c:v>7.45</c:v>
                </c:pt>
                <c:pt idx="480">
                  <c:v>7.43</c:v>
                </c:pt>
                <c:pt idx="481">
                  <c:v>7.43</c:v>
                </c:pt>
                <c:pt idx="482">
                  <c:v>7.44</c:v>
                </c:pt>
                <c:pt idx="483">
                  <c:v>7.46</c:v>
                </c:pt>
                <c:pt idx="484">
                  <c:v>7.44</c:v>
                </c:pt>
                <c:pt idx="485">
                  <c:v>7.44</c:v>
                </c:pt>
                <c:pt idx="486">
                  <c:v>7.43</c:v>
                </c:pt>
                <c:pt idx="487">
                  <c:v>7.43</c:v>
                </c:pt>
                <c:pt idx="488">
                  <c:v>7.44</c:v>
                </c:pt>
                <c:pt idx="489">
                  <c:v>7.44</c:v>
                </c:pt>
                <c:pt idx="490">
                  <c:v>7.44</c:v>
                </c:pt>
                <c:pt idx="491">
                  <c:v>7.45</c:v>
                </c:pt>
                <c:pt idx="492">
                  <c:v>7.47</c:v>
                </c:pt>
                <c:pt idx="493">
                  <c:v>7.56</c:v>
                </c:pt>
                <c:pt idx="494">
                  <c:v>7.74</c:v>
                </c:pt>
                <c:pt idx="495">
                  <c:v>7.75</c:v>
                </c:pt>
                <c:pt idx="496">
                  <c:v>7.76</c:v>
                </c:pt>
                <c:pt idx="497">
                  <c:v>8.02</c:v>
                </c:pt>
                <c:pt idx="498">
                  <c:v>8.01</c:v>
                </c:pt>
                <c:pt idx="499">
                  <c:v>8.09</c:v>
                </c:pt>
                <c:pt idx="500">
                  <c:v>8.11</c:v>
                </c:pt>
                <c:pt idx="501">
                  <c:v>8.18</c:v>
                </c:pt>
                <c:pt idx="502">
                  <c:v>8.2100000000000009</c:v>
                </c:pt>
                <c:pt idx="503">
                  <c:v>8.2100000000000009</c:v>
                </c:pt>
                <c:pt idx="504">
                  <c:v>8.18</c:v>
                </c:pt>
                <c:pt idx="505">
                  <c:v>8.17</c:v>
                </c:pt>
                <c:pt idx="506">
                  <c:v>8.16</c:v>
                </c:pt>
                <c:pt idx="507">
                  <c:v>8.15</c:v>
                </c:pt>
                <c:pt idx="508">
                  <c:v>8.1199999999999992</c:v>
                </c:pt>
                <c:pt idx="509">
                  <c:v>7.99</c:v>
                </c:pt>
                <c:pt idx="510">
                  <c:v>7.8</c:v>
                </c:pt>
                <c:pt idx="511">
                  <c:v>7.58</c:v>
                </c:pt>
                <c:pt idx="512">
                  <c:v>7.22</c:v>
                </c:pt>
                <c:pt idx="513">
                  <c:v>7.1</c:v>
                </c:pt>
                <c:pt idx="514">
                  <c:v>7.08</c:v>
                </c:pt>
                <c:pt idx="515">
                  <c:v>7.72</c:v>
                </c:pt>
                <c:pt idx="516">
                  <c:v>7.82</c:v>
                </c:pt>
                <c:pt idx="517">
                  <c:v>8.0299999999999994</c:v>
                </c:pt>
                <c:pt idx="518">
                  <c:v>8.0399999999999991</c:v>
                </c:pt>
                <c:pt idx="519">
                  <c:v>8.0299999999999994</c:v>
                </c:pt>
                <c:pt idx="520">
                  <c:v>8.01</c:v>
                </c:pt>
                <c:pt idx="521">
                  <c:v>7.97</c:v>
                </c:pt>
                <c:pt idx="522">
                  <c:v>7.91</c:v>
                </c:pt>
                <c:pt idx="523">
                  <c:v>7.7</c:v>
                </c:pt>
                <c:pt idx="524">
                  <c:v>7.44</c:v>
                </c:pt>
                <c:pt idx="525">
                  <c:v>7.31</c:v>
                </c:pt>
                <c:pt idx="526">
                  <c:v>7.16</c:v>
                </c:pt>
                <c:pt idx="527">
                  <c:v>7.07</c:v>
                </c:pt>
                <c:pt idx="528">
                  <c:v>7</c:v>
                </c:pt>
                <c:pt idx="529">
                  <c:v>7.24</c:v>
                </c:pt>
                <c:pt idx="530">
                  <c:v>7.25</c:v>
                </c:pt>
                <c:pt idx="531">
                  <c:v>7.18</c:v>
                </c:pt>
                <c:pt idx="532">
                  <c:v>7.18</c:v>
                </c:pt>
                <c:pt idx="533">
                  <c:v>6.52</c:v>
                </c:pt>
                <c:pt idx="534">
                  <c:v>6.35</c:v>
                </c:pt>
                <c:pt idx="535">
                  <c:v>6.24</c:v>
                </c:pt>
                <c:pt idx="536">
                  <c:v>6.06</c:v>
                </c:pt>
                <c:pt idx="537">
                  <c:v>5.84</c:v>
                </c:pt>
                <c:pt idx="538">
                  <c:v>5.74</c:v>
                </c:pt>
                <c:pt idx="539">
                  <c:v>5.54</c:v>
                </c:pt>
                <c:pt idx="540">
                  <c:v>5.36</c:v>
                </c:pt>
                <c:pt idx="541">
                  <c:v>5.18</c:v>
                </c:pt>
                <c:pt idx="542">
                  <c:v>5.09</c:v>
                </c:pt>
                <c:pt idx="543">
                  <c:v>5.08</c:v>
                </c:pt>
                <c:pt idx="544">
                  <c:v>5.0999999999999996</c:v>
                </c:pt>
                <c:pt idx="545">
                  <c:v>5.01</c:v>
                </c:pt>
                <c:pt idx="546">
                  <c:v>4.72</c:v>
                </c:pt>
                <c:pt idx="547">
                  <c:v>4.72</c:v>
                </c:pt>
                <c:pt idx="548">
                  <c:v>4.6500000000000004</c:v>
                </c:pt>
                <c:pt idx="549">
                  <c:v>4.55</c:v>
                </c:pt>
                <c:pt idx="550">
                  <c:v>4.5199999999999996</c:v>
                </c:pt>
                <c:pt idx="551">
                  <c:v>4.51</c:v>
                </c:pt>
                <c:pt idx="552">
                  <c:v>4.5</c:v>
                </c:pt>
                <c:pt idx="553">
                  <c:v>4.49</c:v>
                </c:pt>
                <c:pt idx="554">
                  <c:v>4.4800000000000004</c:v>
                </c:pt>
                <c:pt idx="555">
                  <c:v>4.47</c:v>
                </c:pt>
                <c:pt idx="556">
                  <c:v>4.47</c:v>
                </c:pt>
                <c:pt idx="557">
                  <c:v>4.47</c:v>
                </c:pt>
                <c:pt idx="558">
                  <c:v>4.49</c:v>
                </c:pt>
                <c:pt idx="559">
                  <c:v>4.5</c:v>
                </c:pt>
                <c:pt idx="560">
                  <c:v>4.51</c:v>
                </c:pt>
                <c:pt idx="561">
                  <c:v>4.51</c:v>
                </c:pt>
                <c:pt idx="562">
                  <c:v>4.51</c:v>
                </c:pt>
                <c:pt idx="563">
                  <c:v>4.51</c:v>
                </c:pt>
                <c:pt idx="564">
                  <c:v>4.5199999999999996</c:v>
                </c:pt>
                <c:pt idx="565">
                  <c:v>4.5199999999999996</c:v>
                </c:pt>
                <c:pt idx="566">
                  <c:v>4.5199999999999996</c:v>
                </c:pt>
                <c:pt idx="567">
                  <c:v>4.5</c:v>
                </c:pt>
                <c:pt idx="568">
                  <c:v>4.49</c:v>
                </c:pt>
                <c:pt idx="569">
                  <c:v>4.51</c:v>
                </c:pt>
                <c:pt idx="570">
                  <c:v>4.4800000000000004</c:v>
                </c:pt>
                <c:pt idx="571">
                  <c:v>4.51</c:v>
                </c:pt>
                <c:pt idx="572">
                  <c:v>4.5</c:v>
                </c:pt>
                <c:pt idx="573">
                  <c:v>4.51</c:v>
                </c:pt>
                <c:pt idx="574">
                  <c:v>4.5</c:v>
                </c:pt>
                <c:pt idx="575">
                  <c:v>4.5</c:v>
                </c:pt>
                <c:pt idx="576">
                  <c:v>4.49</c:v>
                </c:pt>
                <c:pt idx="577">
                  <c:v>4.4800000000000004</c:v>
                </c:pt>
                <c:pt idx="578">
                  <c:v>4.47</c:v>
                </c:pt>
                <c:pt idx="579">
                  <c:v>4.49</c:v>
                </c:pt>
                <c:pt idx="580">
                  <c:v>4.49</c:v>
                </c:pt>
                <c:pt idx="581">
                  <c:v>4.49</c:v>
                </c:pt>
                <c:pt idx="582">
                  <c:v>4.49</c:v>
                </c:pt>
                <c:pt idx="583">
                  <c:v>4.41</c:v>
                </c:pt>
                <c:pt idx="584">
                  <c:v>4.43</c:v>
                </c:pt>
                <c:pt idx="585">
                  <c:v>4.46</c:v>
                </c:pt>
                <c:pt idx="586">
                  <c:v>4.45</c:v>
                </c:pt>
                <c:pt idx="587">
                  <c:v>4.43</c:v>
                </c:pt>
                <c:pt idx="588">
                  <c:v>4.41</c:v>
                </c:pt>
                <c:pt idx="589">
                  <c:v>4.46</c:v>
                </c:pt>
                <c:pt idx="590">
                  <c:v>4.45</c:v>
                </c:pt>
                <c:pt idx="591">
                  <c:v>4.49</c:v>
                </c:pt>
                <c:pt idx="592">
                  <c:v>4.49</c:v>
                </c:pt>
                <c:pt idx="593">
                  <c:v>4.53</c:v>
                </c:pt>
                <c:pt idx="594">
                  <c:v>4.55</c:v>
                </c:pt>
                <c:pt idx="595">
                  <c:v>4.58</c:v>
                </c:pt>
                <c:pt idx="596">
                  <c:v>4.59</c:v>
                </c:pt>
                <c:pt idx="597">
                  <c:v>4.5999999999999996</c:v>
                </c:pt>
                <c:pt idx="598">
                  <c:v>4.59</c:v>
                </c:pt>
                <c:pt idx="599">
                  <c:v>4.5999999999999996</c:v>
                </c:pt>
                <c:pt idx="600">
                  <c:v>4.59</c:v>
                </c:pt>
                <c:pt idx="601">
                  <c:v>4.59</c:v>
                </c:pt>
                <c:pt idx="602">
                  <c:v>4.59</c:v>
                </c:pt>
                <c:pt idx="603">
                  <c:v>4.5999999999999996</c:v>
                </c:pt>
                <c:pt idx="604">
                  <c:v>4.5599999999999996</c:v>
                </c:pt>
                <c:pt idx="605">
                  <c:v>4.54</c:v>
                </c:pt>
                <c:pt idx="606">
                  <c:v>4.5</c:v>
                </c:pt>
                <c:pt idx="607">
                  <c:v>4.47</c:v>
                </c:pt>
                <c:pt idx="608">
                  <c:v>4.4800000000000004</c:v>
                </c:pt>
                <c:pt idx="609">
                  <c:v>4.4800000000000004</c:v>
                </c:pt>
                <c:pt idx="610">
                  <c:v>4.45</c:v>
                </c:pt>
                <c:pt idx="611">
                  <c:v>4.3600000000000003</c:v>
                </c:pt>
                <c:pt idx="612">
                  <c:v>4.3600000000000003</c:v>
                </c:pt>
                <c:pt idx="613">
                  <c:v>4.18</c:v>
                </c:pt>
                <c:pt idx="614">
                  <c:v>4.05</c:v>
                </c:pt>
                <c:pt idx="615">
                  <c:v>4.03</c:v>
                </c:pt>
                <c:pt idx="616">
                  <c:v>3.84</c:v>
                </c:pt>
                <c:pt idx="617">
                  <c:v>3.85</c:v>
                </c:pt>
                <c:pt idx="618">
                  <c:v>3.92</c:v>
                </c:pt>
                <c:pt idx="619">
                  <c:v>3.94</c:v>
                </c:pt>
                <c:pt idx="620">
                  <c:v>4.17</c:v>
                </c:pt>
                <c:pt idx="621">
                  <c:v>4.3499999999999996</c:v>
                </c:pt>
                <c:pt idx="622">
                  <c:v>4.16</c:v>
                </c:pt>
                <c:pt idx="623">
                  <c:v>4.18</c:v>
                </c:pt>
                <c:pt idx="624">
                  <c:v>4.38</c:v>
                </c:pt>
                <c:pt idx="625">
                  <c:v>4.45</c:v>
                </c:pt>
                <c:pt idx="626">
                  <c:v>4.16</c:v>
                </c:pt>
                <c:pt idx="627">
                  <c:v>4.2</c:v>
                </c:pt>
                <c:pt idx="628">
                  <c:v>4.13</c:v>
                </c:pt>
                <c:pt idx="629">
                  <c:v>4.05</c:v>
                </c:pt>
                <c:pt idx="630">
                  <c:v>4.04</c:v>
                </c:pt>
                <c:pt idx="631">
                  <c:v>4.05</c:v>
                </c:pt>
                <c:pt idx="632">
                  <c:v>3.94</c:v>
                </c:pt>
                <c:pt idx="633">
                  <c:v>4.1399999999999997</c:v>
                </c:pt>
                <c:pt idx="634">
                  <c:v>4.22</c:v>
                </c:pt>
                <c:pt idx="635">
                  <c:v>4.28</c:v>
                </c:pt>
                <c:pt idx="636">
                  <c:v>4.24</c:v>
                </c:pt>
                <c:pt idx="637">
                  <c:v>4.3</c:v>
                </c:pt>
                <c:pt idx="638">
                  <c:v>4.3</c:v>
                </c:pt>
                <c:pt idx="639">
                  <c:v>4.26</c:v>
                </c:pt>
                <c:pt idx="640">
                  <c:v>4.28</c:v>
                </c:pt>
                <c:pt idx="641">
                  <c:v>4.33</c:v>
                </c:pt>
                <c:pt idx="642">
                  <c:v>4.24</c:v>
                </c:pt>
                <c:pt idx="643">
                  <c:v>4.24</c:v>
                </c:pt>
                <c:pt idx="644">
                  <c:v>4.2699999999999996</c:v>
                </c:pt>
                <c:pt idx="645">
                  <c:v>4.34</c:v>
                </c:pt>
                <c:pt idx="646">
                  <c:v>4.3899999999999997</c:v>
                </c:pt>
                <c:pt idx="647">
                  <c:v>4.43</c:v>
                </c:pt>
                <c:pt idx="648">
                  <c:v>4.37</c:v>
                </c:pt>
                <c:pt idx="649">
                  <c:v>4.38</c:v>
                </c:pt>
                <c:pt idx="650">
                  <c:v>4.3499999999999996</c:v>
                </c:pt>
                <c:pt idx="651">
                  <c:v>4.33</c:v>
                </c:pt>
                <c:pt idx="652">
                  <c:v>4.18</c:v>
                </c:pt>
                <c:pt idx="653">
                  <c:v>4.1500000000000004</c:v>
                </c:pt>
                <c:pt idx="654">
                  <c:v>4.1500000000000004</c:v>
                </c:pt>
                <c:pt idx="655">
                  <c:v>4.08</c:v>
                </c:pt>
                <c:pt idx="656">
                  <c:v>3.96</c:v>
                </c:pt>
                <c:pt idx="657">
                  <c:v>3.99</c:v>
                </c:pt>
                <c:pt idx="658">
                  <c:v>4.09</c:v>
                </c:pt>
                <c:pt idx="659">
                  <c:v>4.17</c:v>
                </c:pt>
                <c:pt idx="660">
                  <c:v>4.1100000000000003</c:v>
                </c:pt>
                <c:pt idx="661">
                  <c:v>4.17</c:v>
                </c:pt>
                <c:pt idx="662">
                  <c:v>4.25</c:v>
                </c:pt>
                <c:pt idx="663">
                  <c:v>4.2699999999999996</c:v>
                </c:pt>
                <c:pt idx="664">
                  <c:v>4.34</c:v>
                </c:pt>
                <c:pt idx="665">
                  <c:v>4.3499999999999996</c:v>
                </c:pt>
                <c:pt idx="666">
                  <c:v>4.37</c:v>
                </c:pt>
                <c:pt idx="667">
                  <c:v>4.3499999999999996</c:v>
                </c:pt>
                <c:pt idx="668">
                  <c:v>4.37</c:v>
                </c:pt>
                <c:pt idx="669">
                  <c:v>4.38</c:v>
                </c:pt>
                <c:pt idx="670">
                  <c:v>4.3499999999999996</c:v>
                </c:pt>
                <c:pt idx="671">
                  <c:v>4.3499999999999996</c:v>
                </c:pt>
                <c:pt idx="672">
                  <c:v>4.32</c:v>
                </c:pt>
                <c:pt idx="673">
                  <c:v>4.3899999999999997</c:v>
                </c:pt>
                <c:pt idx="674">
                  <c:v>4.33</c:v>
                </c:pt>
                <c:pt idx="675">
                  <c:v>4.33</c:v>
                </c:pt>
                <c:pt idx="676">
                  <c:v>4.33</c:v>
                </c:pt>
                <c:pt idx="677">
                  <c:v>4.3099999999999996</c:v>
                </c:pt>
                <c:pt idx="678">
                  <c:v>4.32</c:v>
                </c:pt>
                <c:pt idx="679">
                  <c:v>4.26</c:v>
                </c:pt>
                <c:pt idx="680">
                  <c:v>4.2699999999999996</c:v>
                </c:pt>
                <c:pt idx="681">
                  <c:v>4.24</c:v>
                </c:pt>
                <c:pt idx="682">
                  <c:v>4.24</c:v>
                </c:pt>
                <c:pt idx="683">
                  <c:v>4.34</c:v>
                </c:pt>
                <c:pt idx="684">
                  <c:v>4.3600000000000003</c:v>
                </c:pt>
                <c:pt idx="685">
                  <c:v>4.3499999999999996</c:v>
                </c:pt>
                <c:pt idx="686">
                  <c:v>4.2699999999999996</c:v>
                </c:pt>
                <c:pt idx="687">
                  <c:v>4.2699999999999996</c:v>
                </c:pt>
                <c:pt idx="688">
                  <c:v>4.18</c:v>
                </c:pt>
                <c:pt idx="689">
                  <c:v>4.21</c:v>
                </c:pt>
                <c:pt idx="690">
                  <c:v>4.28</c:v>
                </c:pt>
                <c:pt idx="691">
                  <c:v>4.25</c:v>
                </c:pt>
                <c:pt idx="692">
                  <c:v>4.26</c:v>
                </c:pt>
                <c:pt idx="693">
                  <c:v>4.33</c:v>
                </c:pt>
                <c:pt idx="694">
                  <c:v>4.33</c:v>
                </c:pt>
                <c:pt idx="695">
                  <c:v>4.33</c:v>
                </c:pt>
                <c:pt idx="696">
                  <c:v>4.34</c:v>
                </c:pt>
                <c:pt idx="697">
                  <c:v>4.42</c:v>
                </c:pt>
                <c:pt idx="698">
                  <c:v>4.42</c:v>
                </c:pt>
                <c:pt idx="699">
                  <c:v>4.4400000000000004</c:v>
                </c:pt>
                <c:pt idx="700">
                  <c:v>4.3499999999999996</c:v>
                </c:pt>
                <c:pt idx="701">
                  <c:v>4.3499999999999996</c:v>
                </c:pt>
                <c:pt idx="702">
                  <c:v>4.37</c:v>
                </c:pt>
                <c:pt idx="703">
                  <c:v>4.2699999999999996</c:v>
                </c:pt>
                <c:pt idx="704">
                  <c:v>4.17</c:v>
                </c:pt>
                <c:pt idx="705">
                  <c:v>4.16</c:v>
                </c:pt>
                <c:pt idx="706">
                  <c:v>4.1500000000000004</c:v>
                </c:pt>
                <c:pt idx="707">
                  <c:v>4.13</c:v>
                </c:pt>
                <c:pt idx="708">
                  <c:v>4.09</c:v>
                </c:pt>
                <c:pt idx="709">
                  <c:v>4.09</c:v>
                </c:pt>
                <c:pt idx="710">
                  <c:v>4.09</c:v>
                </c:pt>
                <c:pt idx="711">
                  <c:v>4.2300000000000004</c:v>
                </c:pt>
                <c:pt idx="712">
                  <c:v>4.1500000000000004</c:v>
                </c:pt>
                <c:pt idx="713">
                  <c:v>4.17</c:v>
                </c:pt>
                <c:pt idx="714">
                  <c:v>4.2300000000000004</c:v>
                </c:pt>
                <c:pt idx="715">
                  <c:v>4.1500000000000004</c:v>
                </c:pt>
                <c:pt idx="716">
                  <c:v>4.12</c:v>
                </c:pt>
                <c:pt idx="717">
                  <c:v>4.2</c:v>
                </c:pt>
                <c:pt idx="718">
                  <c:v>4.17</c:v>
                </c:pt>
                <c:pt idx="719">
                  <c:v>4.2300000000000004</c:v>
                </c:pt>
                <c:pt idx="720">
                  <c:v>4.22</c:v>
                </c:pt>
                <c:pt idx="721">
                  <c:v>4.33</c:v>
                </c:pt>
                <c:pt idx="722">
                  <c:v>4.26</c:v>
                </c:pt>
                <c:pt idx="723">
                  <c:v>4.3099999999999996</c:v>
                </c:pt>
                <c:pt idx="724">
                  <c:v>4.28</c:v>
                </c:pt>
                <c:pt idx="725">
                  <c:v>4.25</c:v>
                </c:pt>
                <c:pt idx="726">
                  <c:v>4.2300000000000004</c:v>
                </c:pt>
                <c:pt idx="727">
                  <c:v>4.1399999999999997</c:v>
                </c:pt>
                <c:pt idx="728">
                  <c:v>3.93</c:v>
                </c:pt>
                <c:pt idx="729">
                  <c:v>3.91</c:v>
                </c:pt>
                <c:pt idx="730">
                  <c:v>4.04</c:v>
                </c:pt>
                <c:pt idx="731">
                  <c:v>4.12</c:v>
                </c:pt>
                <c:pt idx="732">
                  <c:v>4.12</c:v>
                </c:pt>
                <c:pt idx="733">
                  <c:v>4.26</c:v>
                </c:pt>
                <c:pt idx="734">
                  <c:v>4.2300000000000004</c:v>
                </c:pt>
                <c:pt idx="735">
                  <c:v>4.22</c:v>
                </c:pt>
                <c:pt idx="736">
                  <c:v>4.2</c:v>
                </c:pt>
                <c:pt idx="737">
                  <c:v>4.1900000000000004</c:v>
                </c:pt>
                <c:pt idx="738">
                  <c:v>4.13</c:v>
                </c:pt>
                <c:pt idx="739">
                  <c:v>4.07</c:v>
                </c:pt>
                <c:pt idx="740">
                  <c:v>3.96</c:v>
                </c:pt>
                <c:pt idx="741">
                  <c:v>3.95</c:v>
                </c:pt>
                <c:pt idx="742">
                  <c:v>3.95</c:v>
                </c:pt>
                <c:pt idx="743">
                  <c:v>3.88</c:v>
                </c:pt>
                <c:pt idx="744">
                  <c:v>3.81</c:v>
                </c:pt>
                <c:pt idx="745">
                  <c:v>3.81</c:v>
                </c:pt>
                <c:pt idx="746">
                  <c:v>3.76</c:v>
                </c:pt>
                <c:pt idx="747">
                  <c:v>3.76</c:v>
                </c:pt>
                <c:pt idx="748">
                  <c:v>3.71</c:v>
                </c:pt>
                <c:pt idx="749">
                  <c:v>3.72</c:v>
                </c:pt>
                <c:pt idx="750">
                  <c:v>3.72</c:v>
                </c:pt>
                <c:pt idx="751">
                  <c:v>3.71</c:v>
                </c:pt>
                <c:pt idx="752">
                  <c:v>3.71</c:v>
                </c:pt>
                <c:pt idx="753">
                  <c:v>3.77</c:v>
                </c:pt>
                <c:pt idx="754">
                  <c:v>3.81</c:v>
                </c:pt>
                <c:pt idx="755">
                  <c:v>3.82</c:v>
                </c:pt>
                <c:pt idx="756">
                  <c:v>3.8</c:v>
                </c:pt>
                <c:pt idx="757">
                  <c:v>3.83</c:v>
                </c:pt>
                <c:pt idx="758">
                  <c:v>3.85</c:v>
                </c:pt>
                <c:pt idx="759">
                  <c:v>3.9</c:v>
                </c:pt>
                <c:pt idx="760">
                  <c:v>3.88</c:v>
                </c:pt>
                <c:pt idx="761">
                  <c:v>3.84</c:v>
                </c:pt>
                <c:pt idx="762">
                  <c:v>3.84</c:v>
                </c:pt>
                <c:pt idx="763">
                  <c:v>3.83</c:v>
                </c:pt>
                <c:pt idx="764">
                  <c:v>3.83</c:v>
                </c:pt>
                <c:pt idx="765">
                  <c:v>3.83</c:v>
                </c:pt>
                <c:pt idx="766">
                  <c:v>3.65</c:v>
                </c:pt>
                <c:pt idx="767">
                  <c:v>3.56</c:v>
                </c:pt>
                <c:pt idx="768">
                  <c:v>3.5</c:v>
                </c:pt>
                <c:pt idx="769">
                  <c:v>3.44</c:v>
                </c:pt>
                <c:pt idx="770">
                  <c:v>3.4</c:v>
                </c:pt>
                <c:pt idx="771">
                  <c:v>3.38</c:v>
                </c:pt>
                <c:pt idx="772">
                  <c:v>3.35</c:v>
                </c:pt>
                <c:pt idx="773">
                  <c:v>3.38</c:v>
                </c:pt>
                <c:pt idx="774">
                  <c:v>3.36</c:v>
                </c:pt>
                <c:pt idx="775">
                  <c:v>3.39</c:v>
                </c:pt>
                <c:pt idx="776">
                  <c:v>3.4</c:v>
                </c:pt>
                <c:pt idx="777">
                  <c:v>3.4</c:v>
                </c:pt>
                <c:pt idx="778">
                  <c:v>3.38</c:v>
                </c:pt>
                <c:pt idx="779">
                  <c:v>3.34</c:v>
                </c:pt>
                <c:pt idx="780">
                  <c:v>3.27</c:v>
                </c:pt>
                <c:pt idx="781">
                  <c:v>3.18</c:v>
                </c:pt>
                <c:pt idx="782">
                  <c:v>3.16</c:v>
                </c:pt>
                <c:pt idx="783">
                  <c:v>3.17</c:v>
                </c:pt>
                <c:pt idx="784">
                  <c:v>3.05</c:v>
                </c:pt>
                <c:pt idx="785">
                  <c:v>3.13</c:v>
                </c:pt>
                <c:pt idx="786">
                  <c:v>3.18</c:v>
                </c:pt>
                <c:pt idx="787">
                  <c:v>3.18</c:v>
                </c:pt>
                <c:pt idx="788">
                  <c:v>3.16</c:v>
                </c:pt>
                <c:pt idx="789">
                  <c:v>3.14</c:v>
                </c:pt>
                <c:pt idx="790">
                  <c:v>3.15</c:v>
                </c:pt>
                <c:pt idx="791">
                  <c:v>3.16</c:v>
                </c:pt>
                <c:pt idx="792">
                  <c:v>3.14</c:v>
                </c:pt>
                <c:pt idx="793">
                  <c:v>3.19</c:v>
                </c:pt>
                <c:pt idx="794">
                  <c:v>3.19</c:v>
                </c:pt>
                <c:pt idx="795">
                  <c:v>3.22</c:v>
                </c:pt>
                <c:pt idx="796">
                  <c:v>3.2</c:v>
                </c:pt>
                <c:pt idx="797">
                  <c:v>3.22</c:v>
                </c:pt>
                <c:pt idx="798">
                  <c:v>3.25</c:v>
                </c:pt>
                <c:pt idx="799">
                  <c:v>3.25</c:v>
                </c:pt>
                <c:pt idx="800">
                  <c:v>3.25</c:v>
                </c:pt>
                <c:pt idx="801">
                  <c:v>3.26</c:v>
                </c:pt>
                <c:pt idx="802">
                  <c:v>3.28</c:v>
                </c:pt>
                <c:pt idx="803">
                  <c:v>3.31</c:v>
                </c:pt>
                <c:pt idx="804">
                  <c:v>3.29</c:v>
                </c:pt>
                <c:pt idx="805">
                  <c:v>2.92</c:v>
                </c:pt>
                <c:pt idx="806">
                  <c:v>2.95</c:v>
                </c:pt>
                <c:pt idx="807">
                  <c:v>2.9</c:v>
                </c:pt>
                <c:pt idx="808">
                  <c:v>2.85</c:v>
                </c:pt>
                <c:pt idx="809">
                  <c:v>2.85</c:v>
                </c:pt>
                <c:pt idx="810">
                  <c:v>2.84</c:v>
                </c:pt>
                <c:pt idx="811">
                  <c:v>2.82</c:v>
                </c:pt>
                <c:pt idx="812">
                  <c:v>2.8</c:v>
                </c:pt>
                <c:pt idx="813">
                  <c:v>2.78</c:v>
                </c:pt>
                <c:pt idx="814">
                  <c:v>2.77</c:v>
                </c:pt>
                <c:pt idx="815">
                  <c:v>2.76</c:v>
                </c:pt>
                <c:pt idx="816">
                  <c:v>2.76</c:v>
                </c:pt>
                <c:pt idx="817">
                  <c:v>2.76</c:v>
                </c:pt>
                <c:pt idx="818">
                  <c:v>2.84</c:v>
                </c:pt>
                <c:pt idx="819">
                  <c:v>2.86</c:v>
                </c:pt>
                <c:pt idx="820">
                  <c:v>2.86</c:v>
                </c:pt>
                <c:pt idx="821">
                  <c:v>2.85</c:v>
                </c:pt>
                <c:pt idx="822">
                  <c:v>2.86</c:v>
                </c:pt>
                <c:pt idx="823">
                  <c:v>2.96</c:v>
                </c:pt>
                <c:pt idx="824">
                  <c:v>2.93</c:v>
                </c:pt>
                <c:pt idx="825">
                  <c:v>2.9</c:v>
                </c:pt>
                <c:pt idx="826">
                  <c:v>2.91</c:v>
                </c:pt>
                <c:pt idx="827">
                  <c:v>2.9</c:v>
                </c:pt>
                <c:pt idx="828">
                  <c:v>2.83</c:v>
                </c:pt>
                <c:pt idx="829">
                  <c:v>2.76</c:v>
                </c:pt>
                <c:pt idx="830">
                  <c:v>2.84</c:v>
                </c:pt>
                <c:pt idx="831">
                  <c:v>2.85</c:v>
                </c:pt>
                <c:pt idx="832">
                  <c:v>2.84</c:v>
                </c:pt>
                <c:pt idx="833">
                  <c:v>2.78</c:v>
                </c:pt>
                <c:pt idx="834">
                  <c:v>2.74</c:v>
                </c:pt>
                <c:pt idx="835">
                  <c:v>2.4300000000000002</c:v>
                </c:pt>
                <c:pt idx="836">
                  <c:v>2.79</c:v>
                </c:pt>
                <c:pt idx="837">
                  <c:v>2.72</c:v>
                </c:pt>
                <c:pt idx="838">
                  <c:v>2.75</c:v>
                </c:pt>
                <c:pt idx="839">
                  <c:v>2.74</c:v>
                </c:pt>
                <c:pt idx="840">
                  <c:v>2.78</c:v>
                </c:pt>
                <c:pt idx="841">
                  <c:v>2.83</c:v>
                </c:pt>
                <c:pt idx="842">
                  <c:v>2.9</c:v>
                </c:pt>
                <c:pt idx="843">
                  <c:v>3.01</c:v>
                </c:pt>
                <c:pt idx="844">
                  <c:v>3.05</c:v>
                </c:pt>
                <c:pt idx="845">
                  <c:v>3.04</c:v>
                </c:pt>
                <c:pt idx="846">
                  <c:v>3.05</c:v>
                </c:pt>
                <c:pt idx="847">
                  <c:v>3.02</c:v>
                </c:pt>
                <c:pt idx="848">
                  <c:v>3.02</c:v>
                </c:pt>
                <c:pt idx="849">
                  <c:v>3</c:v>
                </c:pt>
                <c:pt idx="850">
                  <c:v>2.96</c:v>
                </c:pt>
                <c:pt idx="851">
                  <c:v>2.85</c:v>
                </c:pt>
                <c:pt idx="852">
                  <c:v>2.98</c:v>
                </c:pt>
                <c:pt idx="853">
                  <c:v>2.97</c:v>
                </c:pt>
                <c:pt idx="854">
                  <c:v>2.99</c:v>
                </c:pt>
                <c:pt idx="855">
                  <c:v>2.99</c:v>
                </c:pt>
                <c:pt idx="856">
                  <c:v>2.97</c:v>
                </c:pt>
                <c:pt idx="857">
                  <c:v>2.96</c:v>
                </c:pt>
                <c:pt idx="858">
                  <c:v>2.94</c:v>
                </c:pt>
                <c:pt idx="859">
                  <c:v>2.98</c:v>
                </c:pt>
                <c:pt idx="860">
                  <c:v>3</c:v>
                </c:pt>
                <c:pt idx="861">
                  <c:v>2.96</c:v>
                </c:pt>
                <c:pt idx="862">
                  <c:v>2.96</c:v>
                </c:pt>
                <c:pt idx="863">
                  <c:v>3.01</c:v>
                </c:pt>
                <c:pt idx="864">
                  <c:v>3.01</c:v>
                </c:pt>
                <c:pt idx="865">
                  <c:v>3.02</c:v>
                </c:pt>
                <c:pt idx="866">
                  <c:v>3.01</c:v>
                </c:pt>
                <c:pt idx="867">
                  <c:v>3.02</c:v>
                </c:pt>
                <c:pt idx="868">
                  <c:v>3.12</c:v>
                </c:pt>
                <c:pt idx="869">
                  <c:v>3.09</c:v>
                </c:pt>
                <c:pt idx="870">
                  <c:v>3.11</c:v>
                </c:pt>
                <c:pt idx="871">
                  <c:v>3.18</c:v>
                </c:pt>
                <c:pt idx="872">
                  <c:v>3.02</c:v>
                </c:pt>
                <c:pt idx="873">
                  <c:v>3.02</c:v>
                </c:pt>
                <c:pt idx="874">
                  <c:v>2.98</c:v>
                </c:pt>
                <c:pt idx="875">
                  <c:v>3</c:v>
                </c:pt>
                <c:pt idx="876">
                  <c:v>3.04</c:v>
                </c:pt>
                <c:pt idx="877">
                  <c:v>3.05</c:v>
                </c:pt>
                <c:pt idx="878">
                  <c:v>3.03</c:v>
                </c:pt>
                <c:pt idx="879">
                  <c:v>3</c:v>
                </c:pt>
                <c:pt idx="880">
                  <c:v>3</c:v>
                </c:pt>
                <c:pt idx="881">
                  <c:v>3.03</c:v>
                </c:pt>
                <c:pt idx="882">
                  <c:v>3.11</c:v>
                </c:pt>
                <c:pt idx="883">
                  <c:v>3.2</c:v>
                </c:pt>
                <c:pt idx="884">
                  <c:v>3.2</c:v>
                </c:pt>
                <c:pt idx="885">
                  <c:v>3.15</c:v>
                </c:pt>
                <c:pt idx="886">
                  <c:v>3.05</c:v>
                </c:pt>
                <c:pt idx="887">
                  <c:v>3.05</c:v>
                </c:pt>
                <c:pt idx="888">
                  <c:v>3.05</c:v>
                </c:pt>
                <c:pt idx="889">
                  <c:v>3.09</c:v>
                </c:pt>
                <c:pt idx="890">
                  <c:v>3.14</c:v>
                </c:pt>
                <c:pt idx="891">
                  <c:v>3.16</c:v>
                </c:pt>
                <c:pt idx="892">
                  <c:v>3.2</c:v>
                </c:pt>
                <c:pt idx="893">
                  <c:v>3.23</c:v>
                </c:pt>
                <c:pt idx="894">
                  <c:v>3.85</c:v>
                </c:pt>
                <c:pt idx="895">
                  <c:v>3.88</c:v>
                </c:pt>
                <c:pt idx="896">
                  <c:v>3.78</c:v>
                </c:pt>
                <c:pt idx="897">
                  <c:v>3.8</c:v>
                </c:pt>
                <c:pt idx="898">
                  <c:v>3.78</c:v>
                </c:pt>
                <c:pt idx="899">
                  <c:v>3.76</c:v>
                </c:pt>
                <c:pt idx="900">
                  <c:v>3.73</c:v>
                </c:pt>
                <c:pt idx="901">
                  <c:v>3.74</c:v>
                </c:pt>
                <c:pt idx="902">
                  <c:v>3.74</c:v>
                </c:pt>
                <c:pt idx="903">
                  <c:v>3.76</c:v>
                </c:pt>
                <c:pt idx="904">
                  <c:v>3.77</c:v>
                </c:pt>
                <c:pt idx="905">
                  <c:v>3.77</c:v>
                </c:pt>
                <c:pt idx="906">
                  <c:v>3.81</c:v>
                </c:pt>
                <c:pt idx="907">
                  <c:v>3.9</c:v>
                </c:pt>
                <c:pt idx="908">
                  <c:v>3.8</c:v>
                </c:pt>
                <c:pt idx="909">
                  <c:v>3.78</c:v>
                </c:pt>
                <c:pt idx="910">
                  <c:v>3.83</c:v>
                </c:pt>
                <c:pt idx="911">
                  <c:v>3.76</c:v>
                </c:pt>
                <c:pt idx="912">
                  <c:v>3.86</c:v>
                </c:pt>
                <c:pt idx="913">
                  <c:v>4.2300000000000004</c:v>
                </c:pt>
                <c:pt idx="914">
                  <c:v>4.1900000000000004</c:v>
                </c:pt>
                <c:pt idx="915">
                  <c:v>4.21</c:v>
                </c:pt>
                <c:pt idx="916">
                  <c:v>4.21</c:v>
                </c:pt>
                <c:pt idx="917">
                  <c:v>4.22</c:v>
                </c:pt>
                <c:pt idx="918">
                  <c:v>4.22</c:v>
                </c:pt>
                <c:pt idx="919">
                  <c:v>4.2699999999999996</c:v>
                </c:pt>
                <c:pt idx="920">
                  <c:v>4.2300000000000004</c:v>
                </c:pt>
                <c:pt idx="921">
                  <c:v>4.29</c:v>
                </c:pt>
                <c:pt idx="922">
                  <c:v>4.2300000000000004</c:v>
                </c:pt>
                <c:pt idx="923">
                  <c:v>4.22</c:v>
                </c:pt>
                <c:pt idx="924">
                  <c:v>4.2699999999999996</c:v>
                </c:pt>
                <c:pt idx="925">
                  <c:v>4.41</c:v>
                </c:pt>
                <c:pt idx="926">
                  <c:v>4.7</c:v>
                </c:pt>
                <c:pt idx="927">
                  <c:v>4.7</c:v>
                </c:pt>
                <c:pt idx="928">
                  <c:v>4.67</c:v>
                </c:pt>
                <c:pt idx="929">
                  <c:v>4.68</c:v>
                </c:pt>
                <c:pt idx="930">
                  <c:v>4.75</c:v>
                </c:pt>
                <c:pt idx="931">
                  <c:v>4.8099999999999996</c:v>
                </c:pt>
                <c:pt idx="932">
                  <c:v>5.56</c:v>
                </c:pt>
                <c:pt idx="933">
                  <c:v>5.48</c:v>
                </c:pt>
                <c:pt idx="934">
                  <c:v>5.62</c:v>
                </c:pt>
                <c:pt idx="935">
                  <c:v>5.59</c:v>
                </c:pt>
                <c:pt idx="936">
                  <c:v>5.51</c:v>
                </c:pt>
                <c:pt idx="937">
                  <c:v>5.65</c:v>
                </c:pt>
                <c:pt idx="938">
                  <c:v>5.69</c:v>
                </c:pt>
                <c:pt idx="939">
                  <c:v>5.82</c:v>
                </c:pt>
                <c:pt idx="940">
                  <c:v>5.87</c:v>
                </c:pt>
                <c:pt idx="941">
                  <c:v>5.86</c:v>
                </c:pt>
                <c:pt idx="942">
                  <c:v>5.77</c:v>
                </c:pt>
                <c:pt idx="943">
                  <c:v>5.88</c:v>
                </c:pt>
                <c:pt idx="944">
                  <c:v>5.9</c:v>
                </c:pt>
                <c:pt idx="945">
                  <c:v>6.21</c:v>
                </c:pt>
                <c:pt idx="946">
                  <c:v>6.24</c:v>
                </c:pt>
                <c:pt idx="947">
                  <c:v>6.25</c:v>
                </c:pt>
                <c:pt idx="948">
                  <c:v>6.29</c:v>
                </c:pt>
                <c:pt idx="949">
                  <c:v>6.3</c:v>
                </c:pt>
                <c:pt idx="950">
                  <c:v>6.32</c:v>
                </c:pt>
                <c:pt idx="951">
                  <c:v>6.43</c:v>
                </c:pt>
                <c:pt idx="952">
                  <c:v>6.48</c:v>
                </c:pt>
                <c:pt idx="953">
                  <c:v>6.54</c:v>
                </c:pt>
                <c:pt idx="954">
                  <c:v>6.47</c:v>
                </c:pt>
                <c:pt idx="955">
                  <c:v>6.5</c:v>
                </c:pt>
                <c:pt idx="956">
                  <c:v>6.5</c:v>
                </c:pt>
                <c:pt idx="957">
                  <c:v>6.49</c:v>
                </c:pt>
                <c:pt idx="958">
                  <c:v>6.53</c:v>
                </c:pt>
                <c:pt idx="959">
                  <c:v>6.71</c:v>
                </c:pt>
                <c:pt idx="960">
                  <c:v>6.72</c:v>
                </c:pt>
                <c:pt idx="961">
                  <c:v>6.74</c:v>
                </c:pt>
                <c:pt idx="962">
                  <c:v>6.79</c:v>
                </c:pt>
                <c:pt idx="963">
                  <c:v>6.87</c:v>
                </c:pt>
                <c:pt idx="964">
                  <c:v>6.96</c:v>
                </c:pt>
                <c:pt idx="965">
                  <c:v>7</c:v>
                </c:pt>
                <c:pt idx="966">
                  <c:v>6.98</c:v>
                </c:pt>
                <c:pt idx="967">
                  <c:v>6.99</c:v>
                </c:pt>
                <c:pt idx="968">
                  <c:v>6.99</c:v>
                </c:pt>
                <c:pt idx="969">
                  <c:v>6.99</c:v>
                </c:pt>
                <c:pt idx="970">
                  <c:v>6.96</c:v>
                </c:pt>
                <c:pt idx="971">
                  <c:v>6.91</c:v>
                </c:pt>
                <c:pt idx="972">
                  <c:v>6.92</c:v>
                </c:pt>
                <c:pt idx="973">
                  <c:v>6.91</c:v>
                </c:pt>
                <c:pt idx="974">
                  <c:v>6.98</c:v>
                </c:pt>
                <c:pt idx="975">
                  <c:v>6.98</c:v>
                </c:pt>
                <c:pt idx="976">
                  <c:v>6.98</c:v>
                </c:pt>
                <c:pt idx="977">
                  <c:v>7</c:v>
                </c:pt>
                <c:pt idx="978">
                  <c:v>7.03</c:v>
                </c:pt>
                <c:pt idx="979">
                  <c:v>7.03</c:v>
                </c:pt>
                <c:pt idx="980">
                  <c:v>7.04</c:v>
                </c:pt>
                <c:pt idx="981">
                  <c:v>7.02</c:v>
                </c:pt>
                <c:pt idx="982">
                  <c:v>7.03</c:v>
                </c:pt>
                <c:pt idx="983">
                  <c:v>7.02</c:v>
                </c:pt>
                <c:pt idx="984">
                  <c:v>7.01</c:v>
                </c:pt>
                <c:pt idx="985">
                  <c:v>7.02</c:v>
                </c:pt>
                <c:pt idx="986">
                  <c:v>7.01</c:v>
                </c:pt>
                <c:pt idx="987">
                  <c:v>7.02</c:v>
                </c:pt>
                <c:pt idx="988">
                  <c:v>7.19</c:v>
                </c:pt>
                <c:pt idx="989">
                  <c:v>7.24</c:v>
                </c:pt>
                <c:pt idx="990">
                  <c:v>7.22</c:v>
                </c:pt>
                <c:pt idx="991">
                  <c:v>7.25</c:v>
                </c:pt>
                <c:pt idx="992">
                  <c:v>7.24</c:v>
                </c:pt>
                <c:pt idx="993">
                  <c:v>7.24</c:v>
                </c:pt>
                <c:pt idx="994">
                  <c:v>7.25</c:v>
                </c:pt>
                <c:pt idx="995">
                  <c:v>7.24</c:v>
                </c:pt>
                <c:pt idx="996">
                  <c:v>7.35</c:v>
                </c:pt>
                <c:pt idx="997">
                  <c:v>7.5</c:v>
                </c:pt>
                <c:pt idx="998">
                  <c:v>7.49</c:v>
                </c:pt>
                <c:pt idx="999">
                  <c:v>7.47</c:v>
                </c:pt>
                <c:pt idx="1000">
                  <c:v>7.5</c:v>
                </c:pt>
                <c:pt idx="1001">
                  <c:v>7.46</c:v>
                </c:pt>
                <c:pt idx="1002">
                  <c:v>7.44</c:v>
                </c:pt>
                <c:pt idx="1003">
                  <c:v>7.49</c:v>
                </c:pt>
                <c:pt idx="1004">
                  <c:v>7.46</c:v>
                </c:pt>
                <c:pt idx="1005">
                  <c:v>7.47</c:v>
                </c:pt>
                <c:pt idx="1006">
                  <c:v>7.45</c:v>
                </c:pt>
                <c:pt idx="1007">
                  <c:v>7.45</c:v>
                </c:pt>
                <c:pt idx="1008">
                  <c:v>7.47</c:v>
                </c:pt>
                <c:pt idx="1009">
                  <c:v>7.52</c:v>
                </c:pt>
                <c:pt idx="1010">
                  <c:v>7.58</c:v>
                </c:pt>
                <c:pt idx="1011">
                  <c:v>7.51</c:v>
                </c:pt>
                <c:pt idx="1012">
                  <c:v>7.48</c:v>
                </c:pt>
                <c:pt idx="1013">
                  <c:v>7.51</c:v>
                </c:pt>
                <c:pt idx="1014">
                  <c:v>7.62</c:v>
                </c:pt>
                <c:pt idx="1015">
                  <c:v>7.71</c:v>
                </c:pt>
                <c:pt idx="1016">
                  <c:v>7.7</c:v>
                </c:pt>
                <c:pt idx="1017">
                  <c:v>7.72</c:v>
                </c:pt>
                <c:pt idx="1018">
                  <c:v>7.74</c:v>
                </c:pt>
                <c:pt idx="1019">
                  <c:v>7.74</c:v>
                </c:pt>
                <c:pt idx="1020">
                  <c:v>7.72</c:v>
                </c:pt>
                <c:pt idx="1021">
                  <c:v>7.74</c:v>
                </c:pt>
                <c:pt idx="1022">
                  <c:v>7.74</c:v>
                </c:pt>
                <c:pt idx="1023">
                  <c:v>7.74</c:v>
                </c:pt>
                <c:pt idx="1024">
                  <c:v>7.71</c:v>
                </c:pt>
                <c:pt idx="1025">
                  <c:v>7.72</c:v>
                </c:pt>
                <c:pt idx="1026">
                  <c:v>7.7</c:v>
                </c:pt>
                <c:pt idx="1027">
                  <c:v>7.7</c:v>
                </c:pt>
                <c:pt idx="1028">
                  <c:v>7.69</c:v>
                </c:pt>
                <c:pt idx="1029">
                  <c:v>7.65</c:v>
                </c:pt>
                <c:pt idx="1030">
                  <c:v>7.67</c:v>
                </c:pt>
                <c:pt idx="1031">
                  <c:v>7.7</c:v>
                </c:pt>
                <c:pt idx="1032">
                  <c:v>7.65</c:v>
                </c:pt>
                <c:pt idx="1033">
                  <c:v>7.72</c:v>
                </c:pt>
                <c:pt idx="1034">
                  <c:v>7.76</c:v>
                </c:pt>
                <c:pt idx="1035">
                  <c:v>7.71</c:v>
                </c:pt>
                <c:pt idx="1036">
                  <c:v>7.79</c:v>
                </c:pt>
                <c:pt idx="1037">
                  <c:v>7.94</c:v>
                </c:pt>
                <c:pt idx="1038">
                  <c:v>7.97</c:v>
                </c:pt>
                <c:pt idx="1039">
                  <c:v>7.95</c:v>
                </c:pt>
                <c:pt idx="1040">
                  <c:v>7.97</c:v>
                </c:pt>
                <c:pt idx="1041">
                  <c:v>8</c:v>
                </c:pt>
                <c:pt idx="1042">
                  <c:v>8.17</c:v>
                </c:pt>
                <c:pt idx="1043">
                  <c:v>8.06</c:v>
                </c:pt>
                <c:pt idx="1044">
                  <c:v>8</c:v>
                </c:pt>
                <c:pt idx="1045">
                  <c:v>7.91</c:v>
                </c:pt>
                <c:pt idx="1046">
                  <c:v>7.91</c:v>
                </c:pt>
                <c:pt idx="1047">
                  <c:v>7.86</c:v>
                </c:pt>
                <c:pt idx="1048">
                  <c:v>7.9</c:v>
                </c:pt>
                <c:pt idx="1049">
                  <c:v>7.88</c:v>
                </c:pt>
                <c:pt idx="1050">
                  <c:v>7.85</c:v>
                </c:pt>
                <c:pt idx="1051">
                  <c:v>8.1</c:v>
                </c:pt>
                <c:pt idx="1052">
                  <c:v>8</c:v>
                </c:pt>
                <c:pt idx="1053">
                  <c:v>8.09</c:v>
                </c:pt>
                <c:pt idx="1054">
                  <c:v>8.15</c:v>
                </c:pt>
                <c:pt idx="1055">
                  <c:v>7.85</c:v>
                </c:pt>
                <c:pt idx="1056">
                  <c:v>7.8</c:v>
                </c:pt>
                <c:pt idx="1057">
                  <c:v>7.76</c:v>
                </c:pt>
                <c:pt idx="1058">
                  <c:v>7.81</c:v>
                </c:pt>
                <c:pt idx="1059">
                  <c:v>7.75</c:v>
                </c:pt>
                <c:pt idx="1060">
                  <c:v>8.1999999999999993</c:v>
                </c:pt>
                <c:pt idx="1061">
                  <c:v>8.02</c:v>
                </c:pt>
                <c:pt idx="1062">
                  <c:v>8.0500000000000007</c:v>
                </c:pt>
                <c:pt idx="1063">
                  <c:v>8.0299999999999994</c:v>
                </c:pt>
                <c:pt idx="1064">
                  <c:v>8.0500000000000007</c:v>
                </c:pt>
                <c:pt idx="1065">
                  <c:v>8.3000000000000007</c:v>
                </c:pt>
                <c:pt idx="1066">
                  <c:v>8.2799999999999994</c:v>
                </c:pt>
                <c:pt idx="1067">
                  <c:v>8.24</c:v>
                </c:pt>
                <c:pt idx="1068">
                  <c:v>8.18</c:v>
                </c:pt>
                <c:pt idx="1069">
                  <c:v>8.1</c:v>
                </c:pt>
                <c:pt idx="1070">
                  <c:v>8.17</c:v>
                </c:pt>
                <c:pt idx="1071">
                  <c:v>8.1300000000000008</c:v>
                </c:pt>
                <c:pt idx="1072">
                  <c:v>8.15</c:v>
                </c:pt>
                <c:pt idx="1073">
                  <c:v>8.01</c:v>
                </c:pt>
                <c:pt idx="1074">
                  <c:v>8.15</c:v>
                </c:pt>
                <c:pt idx="1075">
                  <c:v>8.0500000000000007</c:v>
                </c:pt>
                <c:pt idx="1076">
                  <c:v>7.96</c:v>
                </c:pt>
                <c:pt idx="1077">
                  <c:v>7.87</c:v>
                </c:pt>
                <c:pt idx="1078">
                  <c:v>7.81</c:v>
                </c:pt>
                <c:pt idx="1079">
                  <c:v>7.72</c:v>
                </c:pt>
                <c:pt idx="1080">
                  <c:v>7.72</c:v>
                </c:pt>
                <c:pt idx="1081">
                  <c:v>7.61</c:v>
                </c:pt>
                <c:pt idx="1082">
                  <c:v>7.65</c:v>
                </c:pt>
                <c:pt idx="1083">
                  <c:v>7.7</c:v>
                </c:pt>
                <c:pt idx="1084">
                  <c:v>7.67</c:v>
                </c:pt>
                <c:pt idx="1085">
                  <c:v>7.65</c:v>
                </c:pt>
                <c:pt idx="1086">
                  <c:v>7.62</c:v>
                </c:pt>
                <c:pt idx="1087">
                  <c:v>7.55</c:v>
                </c:pt>
                <c:pt idx="1088">
                  <c:v>7.45</c:v>
                </c:pt>
                <c:pt idx="1089">
                  <c:v>7.43</c:v>
                </c:pt>
                <c:pt idx="1090">
                  <c:v>7.46</c:v>
                </c:pt>
                <c:pt idx="1091">
                  <c:v>7.4</c:v>
                </c:pt>
                <c:pt idx="1092">
                  <c:v>7.04</c:v>
                </c:pt>
                <c:pt idx="1093">
                  <c:v>6.8</c:v>
                </c:pt>
                <c:pt idx="1094">
                  <c:v>7.25</c:v>
                </c:pt>
                <c:pt idx="1095">
                  <c:v>7.25</c:v>
                </c:pt>
                <c:pt idx="1096">
                  <c:v>7.26</c:v>
                </c:pt>
                <c:pt idx="1097">
                  <c:v>7</c:v>
                </c:pt>
                <c:pt idx="1098">
                  <c:v>7.05</c:v>
                </c:pt>
                <c:pt idx="1099">
                  <c:v>7.04</c:v>
                </c:pt>
                <c:pt idx="1100">
                  <c:v>6.99</c:v>
                </c:pt>
                <c:pt idx="1101">
                  <c:v>7</c:v>
                </c:pt>
                <c:pt idx="1102">
                  <c:v>6.95</c:v>
                </c:pt>
                <c:pt idx="1103">
                  <c:v>6.91</c:v>
                </c:pt>
                <c:pt idx="1104">
                  <c:v>6.7</c:v>
                </c:pt>
                <c:pt idx="1105">
                  <c:v>6.81</c:v>
                </c:pt>
                <c:pt idx="1106">
                  <c:v>7.15</c:v>
                </c:pt>
                <c:pt idx="1107">
                  <c:v>6.59</c:v>
                </c:pt>
                <c:pt idx="1108">
                  <c:v>6.39</c:v>
                </c:pt>
                <c:pt idx="1109">
                  <c:v>6.23</c:v>
                </c:pt>
                <c:pt idx="1110">
                  <c:v>6</c:v>
                </c:pt>
                <c:pt idx="1111">
                  <c:v>6</c:v>
                </c:pt>
                <c:pt idx="1112">
                  <c:v>5.84</c:v>
                </c:pt>
                <c:pt idx="1113">
                  <c:v>5.7</c:v>
                </c:pt>
                <c:pt idx="1114">
                  <c:v>5.39</c:v>
                </c:pt>
                <c:pt idx="1115">
                  <c:v>5.39</c:v>
                </c:pt>
                <c:pt idx="1116">
                  <c:v>5.38</c:v>
                </c:pt>
                <c:pt idx="1117">
                  <c:v>5.27</c:v>
                </c:pt>
                <c:pt idx="1118">
                  <c:v>5.15</c:v>
                </c:pt>
                <c:pt idx="1119">
                  <c:v>4.9800000000000004</c:v>
                </c:pt>
                <c:pt idx="1120">
                  <c:v>4.8499999999999996</c:v>
                </c:pt>
                <c:pt idx="1121">
                  <c:v>4.8099999999999996</c:v>
                </c:pt>
                <c:pt idx="1122">
                  <c:v>4.95</c:v>
                </c:pt>
                <c:pt idx="1123">
                  <c:v>4.9000000000000004</c:v>
                </c:pt>
                <c:pt idx="1124">
                  <c:v>4.8</c:v>
                </c:pt>
                <c:pt idx="1125">
                  <c:v>4.63</c:v>
                </c:pt>
                <c:pt idx="1126">
                  <c:v>4.53</c:v>
                </c:pt>
                <c:pt idx="1127">
                  <c:v>4.4800000000000004</c:v>
                </c:pt>
                <c:pt idx="1128">
                  <c:v>4.43</c:v>
                </c:pt>
                <c:pt idx="1129">
                  <c:v>4.5</c:v>
                </c:pt>
                <c:pt idx="1130">
                  <c:v>4.42</c:v>
                </c:pt>
                <c:pt idx="1131">
                  <c:v>4.41</c:v>
                </c:pt>
                <c:pt idx="1132">
                  <c:v>4.45</c:v>
                </c:pt>
                <c:pt idx="1133">
                  <c:v>4.25</c:v>
                </c:pt>
                <c:pt idx="1134">
                  <c:v>4.18</c:v>
                </c:pt>
                <c:pt idx="1135">
                  <c:v>4.26</c:v>
                </c:pt>
                <c:pt idx="1136">
                  <c:v>4.22</c:v>
                </c:pt>
                <c:pt idx="1137">
                  <c:v>4.1399999999999997</c:v>
                </c:pt>
                <c:pt idx="1138">
                  <c:v>4.22</c:v>
                </c:pt>
                <c:pt idx="1139">
                  <c:v>4.25</c:v>
                </c:pt>
                <c:pt idx="1140">
                  <c:v>4.1399999999999997</c:v>
                </c:pt>
                <c:pt idx="1141">
                  <c:v>4.24</c:v>
                </c:pt>
                <c:pt idx="1142">
                  <c:v>4.28</c:v>
                </c:pt>
                <c:pt idx="1143">
                  <c:v>4.3499999999999996</c:v>
                </c:pt>
                <c:pt idx="1144">
                  <c:v>4.26</c:v>
                </c:pt>
                <c:pt idx="1145">
                  <c:v>4.2300000000000004</c:v>
                </c:pt>
                <c:pt idx="1146">
                  <c:v>4.2699999999999996</c:v>
                </c:pt>
                <c:pt idx="1147">
                  <c:v>4.24</c:v>
                </c:pt>
                <c:pt idx="1148">
                  <c:v>4.28</c:v>
                </c:pt>
                <c:pt idx="1149">
                  <c:v>4.1900000000000004</c:v>
                </c:pt>
                <c:pt idx="1150">
                  <c:v>4.1900000000000004</c:v>
                </c:pt>
                <c:pt idx="1151">
                  <c:v>4.22</c:v>
                </c:pt>
                <c:pt idx="1152">
                  <c:v>4.24</c:v>
                </c:pt>
                <c:pt idx="1153">
                  <c:v>4.1900000000000004</c:v>
                </c:pt>
                <c:pt idx="1154">
                  <c:v>4.01</c:v>
                </c:pt>
                <c:pt idx="1155">
                  <c:v>4.0199999999999996</c:v>
                </c:pt>
                <c:pt idx="1156">
                  <c:v>4.0599999999999996</c:v>
                </c:pt>
                <c:pt idx="1157">
                  <c:v>4.05</c:v>
                </c:pt>
                <c:pt idx="1158">
                  <c:v>4.05</c:v>
                </c:pt>
                <c:pt idx="1159">
                  <c:v>4.03</c:v>
                </c:pt>
                <c:pt idx="1160">
                  <c:v>4.08</c:v>
                </c:pt>
                <c:pt idx="1161">
                  <c:v>4.07</c:v>
                </c:pt>
                <c:pt idx="1162">
                  <c:v>4.07</c:v>
                </c:pt>
                <c:pt idx="1163">
                  <c:v>4.0599999999999996</c:v>
                </c:pt>
                <c:pt idx="1164">
                  <c:v>4.0599999999999996</c:v>
                </c:pt>
                <c:pt idx="1165">
                  <c:v>4.07</c:v>
                </c:pt>
                <c:pt idx="1166">
                  <c:v>4.0599999999999996</c:v>
                </c:pt>
                <c:pt idx="1167">
                  <c:v>4.05</c:v>
                </c:pt>
                <c:pt idx="1168">
                  <c:v>4.07</c:v>
                </c:pt>
                <c:pt idx="1169">
                  <c:v>4.0199999999999996</c:v>
                </c:pt>
                <c:pt idx="1170">
                  <c:v>4.04</c:v>
                </c:pt>
                <c:pt idx="1171">
                  <c:v>4</c:v>
                </c:pt>
                <c:pt idx="1172">
                  <c:v>4.03</c:v>
                </c:pt>
                <c:pt idx="1173">
                  <c:v>4.3</c:v>
                </c:pt>
                <c:pt idx="1174">
                  <c:v>4.3</c:v>
                </c:pt>
                <c:pt idx="1175">
                  <c:v>4.3</c:v>
                </c:pt>
                <c:pt idx="1176">
                  <c:v>4.33</c:v>
                </c:pt>
                <c:pt idx="1177">
                  <c:v>4.3499999999999996</c:v>
                </c:pt>
                <c:pt idx="1178">
                  <c:v>4.33</c:v>
                </c:pt>
                <c:pt idx="1179">
                  <c:v>4.5</c:v>
                </c:pt>
                <c:pt idx="1180">
                  <c:v>4.5</c:v>
                </c:pt>
                <c:pt idx="1181">
                  <c:v>4.49</c:v>
                </c:pt>
                <c:pt idx="1182">
                  <c:v>4.3899999999999997</c:v>
                </c:pt>
                <c:pt idx="1183">
                  <c:v>4.49</c:v>
                </c:pt>
                <c:pt idx="1184">
                  <c:v>4.5999999999999996</c:v>
                </c:pt>
                <c:pt idx="1185">
                  <c:v>4.58</c:v>
                </c:pt>
                <c:pt idx="1186">
                  <c:v>4.6900000000000004</c:v>
                </c:pt>
                <c:pt idx="1187">
                  <c:v>4.8099999999999996</c:v>
                </c:pt>
                <c:pt idx="1188">
                  <c:v>4.79</c:v>
                </c:pt>
                <c:pt idx="1189">
                  <c:v>4.83</c:v>
                </c:pt>
                <c:pt idx="1190">
                  <c:v>4.93</c:v>
                </c:pt>
                <c:pt idx="1191">
                  <c:v>5</c:v>
                </c:pt>
                <c:pt idx="1192">
                  <c:v>5.14</c:v>
                </c:pt>
                <c:pt idx="1193">
                  <c:v>5</c:v>
                </c:pt>
                <c:pt idx="1194">
                  <c:v>5.05</c:v>
                </c:pt>
                <c:pt idx="1195">
                  <c:v>5.0999999999999996</c:v>
                </c:pt>
                <c:pt idx="1196">
                  <c:v>5.2</c:v>
                </c:pt>
                <c:pt idx="1197">
                  <c:v>5.2</c:v>
                </c:pt>
                <c:pt idx="1198">
                  <c:v>5.45</c:v>
                </c:pt>
                <c:pt idx="1199">
                  <c:v>5.49</c:v>
                </c:pt>
                <c:pt idx="1200">
                  <c:v>5.51</c:v>
                </c:pt>
                <c:pt idx="1201">
                  <c:v>5.52</c:v>
                </c:pt>
                <c:pt idx="1202">
                  <c:v>5.57</c:v>
                </c:pt>
                <c:pt idx="1203">
                  <c:v>5.5</c:v>
                </c:pt>
                <c:pt idx="1204">
                  <c:v>5.84</c:v>
                </c:pt>
                <c:pt idx="1205">
                  <c:v>5.75</c:v>
                </c:pt>
                <c:pt idx="1206">
                  <c:v>5.95</c:v>
                </c:pt>
                <c:pt idx="1207">
                  <c:v>5.94</c:v>
                </c:pt>
                <c:pt idx="1208">
                  <c:v>6.06</c:v>
                </c:pt>
                <c:pt idx="1209">
                  <c:v>6.15</c:v>
                </c:pt>
                <c:pt idx="1210">
                  <c:v>6.33</c:v>
                </c:pt>
                <c:pt idx="1211">
                  <c:v>6.49</c:v>
                </c:pt>
                <c:pt idx="1212">
                  <c:v>6.52</c:v>
                </c:pt>
                <c:pt idx="1213">
                  <c:v>6.52</c:v>
                </c:pt>
                <c:pt idx="1214">
                  <c:v>6.52</c:v>
                </c:pt>
                <c:pt idx="1215">
                  <c:v>6.5</c:v>
                </c:pt>
                <c:pt idx="1216">
                  <c:v>6.68</c:v>
                </c:pt>
                <c:pt idx="1217">
                  <c:v>6.85</c:v>
                </c:pt>
                <c:pt idx="1218">
                  <c:v>6.97</c:v>
                </c:pt>
                <c:pt idx="1219">
                  <c:v>6.93</c:v>
                </c:pt>
                <c:pt idx="1220">
                  <c:v>6.9</c:v>
                </c:pt>
                <c:pt idx="1221">
                  <c:v>7.01</c:v>
                </c:pt>
                <c:pt idx="1222">
                  <c:v>7.32</c:v>
                </c:pt>
                <c:pt idx="1223">
                  <c:v>7.15</c:v>
                </c:pt>
                <c:pt idx="1224">
                  <c:v>7.5</c:v>
                </c:pt>
                <c:pt idx="1225">
                  <c:v>7.56</c:v>
                </c:pt>
                <c:pt idx="1226">
                  <c:v>7.7</c:v>
                </c:pt>
                <c:pt idx="1227">
                  <c:v>7.55</c:v>
                </c:pt>
                <c:pt idx="1228">
                  <c:v>7.74</c:v>
                </c:pt>
                <c:pt idx="1229">
                  <c:v>8.0500000000000007</c:v>
                </c:pt>
                <c:pt idx="1230">
                  <c:v>8.01</c:v>
                </c:pt>
                <c:pt idx="1231">
                  <c:v>8.3000000000000007</c:v>
                </c:pt>
                <c:pt idx="1232">
                  <c:v>8.35</c:v>
                </c:pt>
                <c:pt idx="1233">
                  <c:v>8.35</c:v>
                </c:pt>
                <c:pt idx="1234">
                  <c:v>8.35</c:v>
                </c:pt>
                <c:pt idx="1235">
                  <c:v>8.5500000000000007</c:v>
                </c:pt>
                <c:pt idx="1236">
                  <c:v>8.75</c:v>
                </c:pt>
                <c:pt idx="1237">
                  <c:v>8.61</c:v>
                </c:pt>
                <c:pt idx="1238">
                  <c:v>9.25</c:v>
                </c:pt>
                <c:pt idx="1239">
                  <c:v>9</c:v>
                </c:pt>
                <c:pt idx="1240">
                  <c:v>8.9</c:v>
                </c:pt>
                <c:pt idx="1241">
                  <c:v>8.8000000000000007</c:v>
                </c:pt>
                <c:pt idx="1242">
                  <c:v>9</c:v>
                </c:pt>
                <c:pt idx="1243">
                  <c:v>9.4</c:v>
                </c:pt>
                <c:pt idx="1244">
                  <c:v>9.19</c:v>
                </c:pt>
                <c:pt idx="1245">
                  <c:v>9.3699999999999992</c:v>
                </c:pt>
                <c:pt idx="1246">
                  <c:v>9.6999999999999993</c:v>
                </c:pt>
                <c:pt idx="1247">
                  <c:v>9.68</c:v>
                </c:pt>
                <c:pt idx="1248">
                  <c:v>10</c:v>
                </c:pt>
                <c:pt idx="1249">
                  <c:v>9.8000000000000007</c:v>
                </c:pt>
                <c:pt idx="1250">
                  <c:v>10.199999999999999</c:v>
                </c:pt>
                <c:pt idx="1251">
                  <c:v>10.1</c:v>
                </c:pt>
                <c:pt idx="1252">
                  <c:v>10.49</c:v>
                </c:pt>
                <c:pt idx="1253">
                  <c:v>10.46</c:v>
                </c:pt>
                <c:pt idx="1254">
                  <c:v>10.7</c:v>
                </c:pt>
                <c:pt idx="1255">
                  <c:v>10.8</c:v>
                </c:pt>
                <c:pt idx="1256">
                  <c:v>10.78</c:v>
                </c:pt>
                <c:pt idx="1257">
                  <c:v>10.82</c:v>
                </c:pt>
                <c:pt idx="1258">
                  <c:v>11.05</c:v>
                </c:pt>
                <c:pt idx="1259">
                  <c:v>11.04</c:v>
                </c:pt>
                <c:pt idx="1260">
                  <c:v>11.05</c:v>
                </c:pt>
                <c:pt idx="1261">
                  <c:v>11.19</c:v>
                </c:pt>
                <c:pt idx="1262">
                  <c:v>11.3</c:v>
                </c:pt>
                <c:pt idx="1263">
                  <c:v>11.28</c:v>
                </c:pt>
                <c:pt idx="1264">
                  <c:v>11.34</c:v>
                </c:pt>
                <c:pt idx="1265">
                  <c:v>11.28</c:v>
                </c:pt>
                <c:pt idx="1266">
                  <c:v>11.3</c:v>
                </c:pt>
                <c:pt idx="1267">
                  <c:v>11.3</c:v>
                </c:pt>
                <c:pt idx="1268">
                  <c:v>11.27</c:v>
                </c:pt>
                <c:pt idx="1269">
                  <c:v>11.4</c:v>
                </c:pt>
                <c:pt idx="1270">
                  <c:v>11.39</c:v>
                </c:pt>
                <c:pt idx="1271">
                  <c:v>11.25</c:v>
                </c:pt>
                <c:pt idx="1272">
                  <c:v>11.25</c:v>
                </c:pt>
                <c:pt idx="1273">
                  <c:v>11.2</c:v>
                </c:pt>
                <c:pt idx="1274">
                  <c:v>11.32</c:v>
                </c:pt>
                <c:pt idx="1275">
                  <c:v>11.15</c:v>
                </c:pt>
                <c:pt idx="1276">
                  <c:v>11.09</c:v>
                </c:pt>
                <c:pt idx="1277">
                  <c:v>11.02</c:v>
                </c:pt>
                <c:pt idx="1278">
                  <c:v>11.3</c:v>
                </c:pt>
                <c:pt idx="1279">
                  <c:v>11.29</c:v>
                </c:pt>
                <c:pt idx="1280">
                  <c:v>11.18</c:v>
                </c:pt>
                <c:pt idx="1281">
                  <c:v>11.09</c:v>
                </c:pt>
                <c:pt idx="1282">
                  <c:v>11.28</c:v>
                </c:pt>
                <c:pt idx="1283">
                  <c:v>11.25</c:v>
                </c:pt>
                <c:pt idx="1284">
                  <c:v>11.26</c:v>
                </c:pt>
                <c:pt idx="1285">
                  <c:v>10.96</c:v>
                </c:pt>
                <c:pt idx="1286">
                  <c:v>11.07</c:v>
                </c:pt>
                <c:pt idx="1287">
                  <c:v>11</c:v>
                </c:pt>
                <c:pt idx="1288">
                  <c:v>11.25</c:v>
                </c:pt>
                <c:pt idx="1289">
                  <c:v>11</c:v>
                </c:pt>
                <c:pt idx="1290">
                  <c:v>11.05</c:v>
                </c:pt>
                <c:pt idx="1291">
                  <c:v>11.05</c:v>
                </c:pt>
                <c:pt idx="1292">
                  <c:v>11.05</c:v>
                </c:pt>
                <c:pt idx="1293">
                  <c:v>10.95</c:v>
                </c:pt>
                <c:pt idx="1294">
                  <c:v>11.26</c:v>
                </c:pt>
                <c:pt idx="1295">
                  <c:v>11.09</c:v>
                </c:pt>
                <c:pt idx="1296">
                  <c:v>10.95</c:v>
                </c:pt>
                <c:pt idx="1297">
                  <c:v>10.87</c:v>
                </c:pt>
                <c:pt idx="1298">
                  <c:v>10.75</c:v>
                </c:pt>
                <c:pt idx="1299">
                  <c:v>10.78</c:v>
                </c:pt>
                <c:pt idx="1300">
                  <c:v>11.25</c:v>
                </c:pt>
                <c:pt idx="1301">
                  <c:v>11.25</c:v>
                </c:pt>
                <c:pt idx="1302">
                  <c:v>11.09</c:v>
                </c:pt>
                <c:pt idx="1303">
                  <c:v>11.26</c:v>
                </c:pt>
                <c:pt idx="1304">
                  <c:v>11.3</c:v>
                </c:pt>
                <c:pt idx="1305">
                  <c:v>11.28</c:v>
                </c:pt>
                <c:pt idx="1306">
                  <c:v>11.3</c:v>
                </c:pt>
                <c:pt idx="1307">
                  <c:v>11.28</c:v>
                </c:pt>
                <c:pt idx="1308">
                  <c:v>11.15</c:v>
                </c:pt>
                <c:pt idx="1309">
                  <c:v>11.06</c:v>
                </c:pt>
                <c:pt idx="1310">
                  <c:v>11.05</c:v>
                </c:pt>
                <c:pt idx="1311">
                  <c:v>11</c:v>
                </c:pt>
                <c:pt idx="1312">
                  <c:v>11</c:v>
                </c:pt>
                <c:pt idx="1313">
                  <c:v>11</c:v>
                </c:pt>
                <c:pt idx="1314">
                  <c:v>11.18</c:v>
                </c:pt>
                <c:pt idx="1315">
                  <c:v>10.99</c:v>
                </c:pt>
                <c:pt idx="1316">
                  <c:v>10.9</c:v>
                </c:pt>
                <c:pt idx="1317">
                  <c:v>10.88</c:v>
                </c:pt>
                <c:pt idx="1318">
                  <c:v>10.92</c:v>
                </c:pt>
                <c:pt idx="1319">
                  <c:v>11.04</c:v>
                </c:pt>
                <c:pt idx="1320">
                  <c:v>11.04</c:v>
                </c:pt>
                <c:pt idx="1321">
                  <c:v>10.95</c:v>
                </c:pt>
                <c:pt idx="1322">
                  <c:v>11.03</c:v>
                </c:pt>
                <c:pt idx="1323">
                  <c:v>10.95</c:v>
                </c:pt>
                <c:pt idx="1324">
                  <c:v>11</c:v>
                </c:pt>
                <c:pt idx="1325">
                  <c:v>11.03</c:v>
                </c:pt>
                <c:pt idx="1326">
                  <c:v>11.04</c:v>
                </c:pt>
                <c:pt idx="1327">
                  <c:v>11</c:v>
                </c:pt>
                <c:pt idx="1328">
                  <c:v>10.95</c:v>
                </c:pt>
                <c:pt idx="1329">
                  <c:v>10.88</c:v>
                </c:pt>
                <c:pt idx="1330">
                  <c:v>11.02</c:v>
                </c:pt>
                <c:pt idx="1331">
                  <c:v>10.9</c:v>
                </c:pt>
                <c:pt idx="1332">
                  <c:v>10.89</c:v>
                </c:pt>
                <c:pt idx="1333">
                  <c:v>10.87</c:v>
                </c:pt>
                <c:pt idx="1334">
                  <c:v>10.97</c:v>
                </c:pt>
                <c:pt idx="1335">
                  <c:v>10.86</c:v>
                </c:pt>
                <c:pt idx="1336">
                  <c:v>10.65</c:v>
                </c:pt>
                <c:pt idx="1337">
                  <c:v>10.65</c:v>
                </c:pt>
                <c:pt idx="1338">
                  <c:v>10.65</c:v>
                </c:pt>
                <c:pt idx="1339">
                  <c:v>10.51</c:v>
                </c:pt>
                <c:pt idx="1340">
                  <c:v>10.49</c:v>
                </c:pt>
                <c:pt idx="1341">
                  <c:v>10.4</c:v>
                </c:pt>
                <c:pt idx="1342">
                  <c:v>10.35</c:v>
                </c:pt>
                <c:pt idx="1343">
                  <c:v>10.3</c:v>
                </c:pt>
                <c:pt idx="1344">
                  <c:v>10.3</c:v>
                </c:pt>
                <c:pt idx="1345">
                  <c:v>10.210000000000001</c:v>
                </c:pt>
                <c:pt idx="1346">
                  <c:v>10.199999999999999</c:v>
                </c:pt>
                <c:pt idx="1347">
                  <c:v>10.199999999999999</c:v>
                </c:pt>
                <c:pt idx="1348">
                  <c:v>10.1</c:v>
                </c:pt>
                <c:pt idx="1349">
                  <c:v>10.1</c:v>
                </c:pt>
                <c:pt idx="1350">
                  <c:v>10.050000000000001</c:v>
                </c:pt>
                <c:pt idx="1351">
                  <c:v>9.9499999999999993</c:v>
                </c:pt>
                <c:pt idx="1352">
                  <c:v>9.9</c:v>
                </c:pt>
                <c:pt idx="1353">
                  <c:v>9.9499999999999993</c:v>
                </c:pt>
                <c:pt idx="1354">
                  <c:v>9.8000000000000007</c:v>
                </c:pt>
                <c:pt idx="1355">
                  <c:v>9.74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CC-4D50-B2CC-C5A58C695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9775552"/>
        <c:axId val="-69778272"/>
      </c:scatterChart>
      <c:valAx>
        <c:axId val="-69775552"/>
        <c:scaling>
          <c:orientation val="minMax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;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9778272"/>
        <c:crosses val="autoZero"/>
        <c:crossBetween val="midCat"/>
        <c:majorUnit val="250"/>
      </c:valAx>
      <c:valAx>
        <c:axId val="-697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977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8219816272965874E-2"/>
          <c:y val="0.13647838521694461"/>
          <c:w val="0.87122462817147861"/>
          <c:h val="0.67175671566928186"/>
        </c:manualLayout>
      </c:layout>
      <c:scatterChart>
        <c:scatterStyle val="lineMarker"/>
        <c:varyColors val="0"/>
        <c:ser>
          <c:idx val="0"/>
          <c:order val="0"/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CETES!$A$1062:$A$1374</c:f>
              <c:numCache>
                <c:formatCode>m/d/yyyy</c:formatCode>
                <c:ptCount val="313"/>
                <c:pt idx="0">
                  <c:v>43468</c:v>
                </c:pt>
                <c:pt idx="1">
                  <c:v>43475</c:v>
                </c:pt>
                <c:pt idx="2">
                  <c:v>43482</c:v>
                </c:pt>
                <c:pt idx="3">
                  <c:v>43489</c:v>
                </c:pt>
                <c:pt idx="4">
                  <c:v>43496</c:v>
                </c:pt>
                <c:pt idx="5">
                  <c:v>43503</c:v>
                </c:pt>
                <c:pt idx="6">
                  <c:v>43510</c:v>
                </c:pt>
                <c:pt idx="7">
                  <c:v>43517</c:v>
                </c:pt>
                <c:pt idx="8">
                  <c:v>43524</c:v>
                </c:pt>
                <c:pt idx="9">
                  <c:v>43531</c:v>
                </c:pt>
                <c:pt idx="10">
                  <c:v>43538</c:v>
                </c:pt>
                <c:pt idx="11">
                  <c:v>43545</c:v>
                </c:pt>
                <c:pt idx="12">
                  <c:v>43552</c:v>
                </c:pt>
                <c:pt idx="13">
                  <c:v>43559</c:v>
                </c:pt>
                <c:pt idx="14">
                  <c:v>43566</c:v>
                </c:pt>
                <c:pt idx="15">
                  <c:v>43572</c:v>
                </c:pt>
                <c:pt idx="16">
                  <c:v>43580</c:v>
                </c:pt>
                <c:pt idx="17">
                  <c:v>43587</c:v>
                </c:pt>
                <c:pt idx="18">
                  <c:v>43594</c:v>
                </c:pt>
                <c:pt idx="19">
                  <c:v>43601</c:v>
                </c:pt>
                <c:pt idx="20">
                  <c:v>43608</c:v>
                </c:pt>
                <c:pt idx="21">
                  <c:v>43615</c:v>
                </c:pt>
                <c:pt idx="22">
                  <c:v>43622</c:v>
                </c:pt>
                <c:pt idx="23">
                  <c:v>43629</c:v>
                </c:pt>
                <c:pt idx="24">
                  <c:v>43636</c:v>
                </c:pt>
                <c:pt idx="25">
                  <c:v>43643</c:v>
                </c:pt>
                <c:pt idx="26">
                  <c:v>43650</c:v>
                </c:pt>
                <c:pt idx="27">
                  <c:v>43657</c:v>
                </c:pt>
                <c:pt idx="28">
                  <c:v>43664</c:v>
                </c:pt>
                <c:pt idx="29">
                  <c:v>43671</c:v>
                </c:pt>
                <c:pt idx="30">
                  <c:v>43678</c:v>
                </c:pt>
                <c:pt idx="31">
                  <c:v>43685</c:v>
                </c:pt>
                <c:pt idx="32">
                  <c:v>43692</c:v>
                </c:pt>
                <c:pt idx="33">
                  <c:v>43699</c:v>
                </c:pt>
                <c:pt idx="34">
                  <c:v>43706</c:v>
                </c:pt>
                <c:pt idx="35">
                  <c:v>43713</c:v>
                </c:pt>
                <c:pt idx="36">
                  <c:v>43720</c:v>
                </c:pt>
                <c:pt idx="37">
                  <c:v>43727</c:v>
                </c:pt>
                <c:pt idx="38">
                  <c:v>43734</c:v>
                </c:pt>
                <c:pt idx="39">
                  <c:v>43741</c:v>
                </c:pt>
                <c:pt idx="40">
                  <c:v>43748</c:v>
                </c:pt>
                <c:pt idx="41">
                  <c:v>43755</c:v>
                </c:pt>
                <c:pt idx="42">
                  <c:v>43762</c:v>
                </c:pt>
                <c:pt idx="43">
                  <c:v>43769</c:v>
                </c:pt>
                <c:pt idx="44">
                  <c:v>43776</c:v>
                </c:pt>
                <c:pt idx="45">
                  <c:v>43783</c:v>
                </c:pt>
                <c:pt idx="46">
                  <c:v>43790</c:v>
                </c:pt>
                <c:pt idx="47">
                  <c:v>43797</c:v>
                </c:pt>
                <c:pt idx="48">
                  <c:v>43804</c:v>
                </c:pt>
                <c:pt idx="49">
                  <c:v>43810</c:v>
                </c:pt>
                <c:pt idx="50">
                  <c:v>43818</c:v>
                </c:pt>
                <c:pt idx="51">
                  <c:v>43825</c:v>
                </c:pt>
                <c:pt idx="52">
                  <c:v>43832</c:v>
                </c:pt>
                <c:pt idx="53">
                  <c:v>43839</c:v>
                </c:pt>
                <c:pt idx="54">
                  <c:v>43846</c:v>
                </c:pt>
                <c:pt idx="55">
                  <c:v>43853</c:v>
                </c:pt>
                <c:pt idx="56">
                  <c:v>43860</c:v>
                </c:pt>
                <c:pt idx="57">
                  <c:v>43867</c:v>
                </c:pt>
                <c:pt idx="58">
                  <c:v>43874</c:v>
                </c:pt>
                <c:pt idx="59">
                  <c:v>43881</c:v>
                </c:pt>
                <c:pt idx="60">
                  <c:v>43888</c:v>
                </c:pt>
                <c:pt idx="61">
                  <c:v>43895</c:v>
                </c:pt>
                <c:pt idx="62">
                  <c:v>43902</c:v>
                </c:pt>
                <c:pt idx="63">
                  <c:v>43909</c:v>
                </c:pt>
                <c:pt idx="64">
                  <c:v>43916</c:v>
                </c:pt>
                <c:pt idx="65">
                  <c:v>43923</c:v>
                </c:pt>
                <c:pt idx="66">
                  <c:v>43929</c:v>
                </c:pt>
                <c:pt idx="67">
                  <c:v>43937</c:v>
                </c:pt>
                <c:pt idx="68">
                  <c:v>43944</c:v>
                </c:pt>
                <c:pt idx="69">
                  <c:v>43951</c:v>
                </c:pt>
                <c:pt idx="70">
                  <c:v>43958</c:v>
                </c:pt>
                <c:pt idx="71">
                  <c:v>43965</c:v>
                </c:pt>
                <c:pt idx="72">
                  <c:v>43972</c:v>
                </c:pt>
                <c:pt idx="73">
                  <c:v>43979</c:v>
                </c:pt>
                <c:pt idx="74">
                  <c:v>43986</c:v>
                </c:pt>
                <c:pt idx="75">
                  <c:v>43993</c:v>
                </c:pt>
                <c:pt idx="76">
                  <c:v>44000</c:v>
                </c:pt>
                <c:pt idx="77">
                  <c:v>44007</c:v>
                </c:pt>
                <c:pt idx="78">
                  <c:v>44014</c:v>
                </c:pt>
                <c:pt idx="79">
                  <c:v>44021</c:v>
                </c:pt>
                <c:pt idx="80">
                  <c:v>44028</c:v>
                </c:pt>
                <c:pt idx="81">
                  <c:v>44035</c:v>
                </c:pt>
                <c:pt idx="82">
                  <c:v>44042</c:v>
                </c:pt>
                <c:pt idx="83">
                  <c:v>44049</c:v>
                </c:pt>
                <c:pt idx="84">
                  <c:v>44056</c:v>
                </c:pt>
                <c:pt idx="85">
                  <c:v>44063</c:v>
                </c:pt>
                <c:pt idx="86">
                  <c:v>44070</c:v>
                </c:pt>
                <c:pt idx="87">
                  <c:v>44077</c:v>
                </c:pt>
                <c:pt idx="88">
                  <c:v>44084</c:v>
                </c:pt>
                <c:pt idx="89">
                  <c:v>44091</c:v>
                </c:pt>
                <c:pt idx="90">
                  <c:v>44098</c:v>
                </c:pt>
                <c:pt idx="91">
                  <c:v>44105</c:v>
                </c:pt>
                <c:pt idx="92">
                  <c:v>44112</c:v>
                </c:pt>
                <c:pt idx="93">
                  <c:v>44119</c:v>
                </c:pt>
                <c:pt idx="94">
                  <c:v>44126</c:v>
                </c:pt>
                <c:pt idx="95">
                  <c:v>44133</c:v>
                </c:pt>
                <c:pt idx="96">
                  <c:v>44140</c:v>
                </c:pt>
                <c:pt idx="97">
                  <c:v>44147</c:v>
                </c:pt>
                <c:pt idx="98">
                  <c:v>44154</c:v>
                </c:pt>
                <c:pt idx="99">
                  <c:v>44161</c:v>
                </c:pt>
                <c:pt idx="100">
                  <c:v>44168</c:v>
                </c:pt>
                <c:pt idx="101">
                  <c:v>44175</c:v>
                </c:pt>
                <c:pt idx="102">
                  <c:v>44182</c:v>
                </c:pt>
                <c:pt idx="103">
                  <c:v>44189</c:v>
                </c:pt>
                <c:pt idx="104">
                  <c:v>44196</c:v>
                </c:pt>
                <c:pt idx="105">
                  <c:v>44203</c:v>
                </c:pt>
                <c:pt idx="106">
                  <c:v>44210</c:v>
                </c:pt>
                <c:pt idx="107">
                  <c:v>44217</c:v>
                </c:pt>
                <c:pt idx="108">
                  <c:v>44224</c:v>
                </c:pt>
                <c:pt idx="109">
                  <c:v>44231</c:v>
                </c:pt>
                <c:pt idx="110">
                  <c:v>44238</c:v>
                </c:pt>
                <c:pt idx="111">
                  <c:v>44245</c:v>
                </c:pt>
                <c:pt idx="112">
                  <c:v>44252</c:v>
                </c:pt>
                <c:pt idx="113">
                  <c:v>44259</c:v>
                </c:pt>
                <c:pt idx="114">
                  <c:v>44266</c:v>
                </c:pt>
                <c:pt idx="115">
                  <c:v>44273</c:v>
                </c:pt>
                <c:pt idx="116">
                  <c:v>44280</c:v>
                </c:pt>
                <c:pt idx="117">
                  <c:v>44286</c:v>
                </c:pt>
                <c:pt idx="118">
                  <c:v>44294</c:v>
                </c:pt>
                <c:pt idx="119">
                  <c:v>44301</c:v>
                </c:pt>
                <c:pt idx="120">
                  <c:v>44308</c:v>
                </c:pt>
                <c:pt idx="121">
                  <c:v>44315</c:v>
                </c:pt>
                <c:pt idx="122">
                  <c:v>44322</c:v>
                </c:pt>
                <c:pt idx="123">
                  <c:v>44329</c:v>
                </c:pt>
                <c:pt idx="124">
                  <c:v>44336</c:v>
                </c:pt>
                <c:pt idx="125">
                  <c:v>44343</c:v>
                </c:pt>
                <c:pt idx="126">
                  <c:v>44350</c:v>
                </c:pt>
                <c:pt idx="127">
                  <c:v>44357</c:v>
                </c:pt>
                <c:pt idx="128">
                  <c:v>44364</c:v>
                </c:pt>
                <c:pt idx="129">
                  <c:v>44371</c:v>
                </c:pt>
                <c:pt idx="130">
                  <c:v>44378</c:v>
                </c:pt>
                <c:pt idx="131">
                  <c:v>44385</c:v>
                </c:pt>
                <c:pt idx="132">
                  <c:v>44392</c:v>
                </c:pt>
                <c:pt idx="133">
                  <c:v>44399</c:v>
                </c:pt>
                <c:pt idx="134">
                  <c:v>44406</c:v>
                </c:pt>
                <c:pt idx="135">
                  <c:v>44413</c:v>
                </c:pt>
                <c:pt idx="136">
                  <c:v>44420</c:v>
                </c:pt>
                <c:pt idx="137">
                  <c:v>44427</c:v>
                </c:pt>
                <c:pt idx="138">
                  <c:v>44434</c:v>
                </c:pt>
                <c:pt idx="139">
                  <c:v>44441</c:v>
                </c:pt>
                <c:pt idx="140">
                  <c:v>44448</c:v>
                </c:pt>
                <c:pt idx="141">
                  <c:v>44454</c:v>
                </c:pt>
                <c:pt idx="142">
                  <c:v>44462</c:v>
                </c:pt>
                <c:pt idx="143">
                  <c:v>44469</c:v>
                </c:pt>
                <c:pt idx="144">
                  <c:v>44476</c:v>
                </c:pt>
                <c:pt idx="145">
                  <c:v>44483</c:v>
                </c:pt>
                <c:pt idx="146">
                  <c:v>44490</c:v>
                </c:pt>
                <c:pt idx="147">
                  <c:v>44497</c:v>
                </c:pt>
                <c:pt idx="148">
                  <c:v>44504</c:v>
                </c:pt>
                <c:pt idx="149">
                  <c:v>44511</c:v>
                </c:pt>
                <c:pt idx="150">
                  <c:v>44518</c:v>
                </c:pt>
                <c:pt idx="151">
                  <c:v>44525</c:v>
                </c:pt>
                <c:pt idx="152">
                  <c:v>44532</c:v>
                </c:pt>
                <c:pt idx="153">
                  <c:v>44539</c:v>
                </c:pt>
                <c:pt idx="154">
                  <c:v>44546</c:v>
                </c:pt>
                <c:pt idx="155">
                  <c:v>44553</c:v>
                </c:pt>
                <c:pt idx="156">
                  <c:v>44560</c:v>
                </c:pt>
                <c:pt idx="157">
                  <c:v>44567</c:v>
                </c:pt>
                <c:pt idx="158">
                  <c:v>44574</c:v>
                </c:pt>
                <c:pt idx="159">
                  <c:v>44581</c:v>
                </c:pt>
                <c:pt idx="160">
                  <c:v>44588</c:v>
                </c:pt>
                <c:pt idx="161">
                  <c:v>44595</c:v>
                </c:pt>
                <c:pt idx="162">
                  <c:v>44602</c:v>
                </c:pt>
                <c:pt idx="163">
                  <c:v>44609</c:v>
                </c:pt>
                <c:pt idx="164">
                  <c:v>44616</c:v>
                </c:pt>
                <c:pt idx="165">
                  <c:v>44623</c:v>
                </c:pt>
                <c:pt idx="166">
                  <c:v>44630</c:v>
                </c:pt>
                <c:pt idx="167">
                  <c:v>44637</c:v>
                </c:pt>
                <c:pt idx="168">
                  <c:v>44644</c:v>
                </c:pt>
                <c:pt idx="169">
                  <c:v>44651</c:v>
                </c:pt>
                <c:pt idx="170">
                  <c:v>44658</c:v>
                </c:pt>
                <c:pt idx="171">
                  <c:v>44664</c:v>
                </c:pt>
                <c:pt idx="172">
                  <c:v>44672</c:v>
                </c:pt>
                <c:pt idx="173">
                  <c:v>44679</c:v>
                </c:pt>
                <c:pt idx="174">
                  <c:v>44686</c:v>
                </c:pt>
                <c:pt idx="175">
                  <c:v>44693</c:v>
                </c:pt>
                <c:pt idx="176">
                  <c:v>44700</c:v>
                </c:pt>
                <c:pt idx="177">
                  <c:v>44707</c:v>
                </c:pt>
                <c:pt idx="178">
                  <c:v>44714</c:v>
                </c:pt>
                <c:pt idx="179">
                  <c:v>44721</c:v>
                </c:pt>
                <c:pt idx="180">
                  <c:v>44728</c:v>
                </c:pt>
                <c:pt idx="181">
                  <c:v>44735</c:v>
                </c:pt>
                <c:pt idx="182">
                  <c:v>44742</c:v>
                </c:pt>
                <c:pt idx="183">
                  <c:v>44749</c:v>
                </c:pt>
                <c:pt idx="184">
                  <c:v>44756</c:v>
                </c:pt>
                <c:pt idx="185">
                  <c:v>44763</c:v>
                </c:pt>
                <c:pt idx="186">
                  <c:v>44770</c:v>
                </c:pt>
                <c:pt idx="187">
                  <c:v>44777</c:v>
                </c:pt>
                <c:pt idx="188">
                  <c:v>44784</c:v>
                </c:pt>
                <c:pt idx="189">
                  <c:v>44791</c:v>
                </c:pt>
                <c:pt idx="190">
                  <c:v>44798</c:v>
                </c:pt>
                <c:pt idx="191">
                  <c:v>44805</c:v>
                </c:pt>
                <c:pt idx="192">
                  <c:v>44812</c:v>
                </c:pt>
                <c:pt idx="193">
                  <c:v>44819</c:v>
                </c:pt>
                <c:pt idx="194">
                  <c:v>44826</c:v>
                </c:pt>
                <c:pt idx="195">
                  <c:v>44833</c:v>
                </c:pt>
                <c:pt idx="196">
                  <c:v>44840</c:v>
                </c:pt>
                <c:pt idx="197">
                  <c:v>44847</c:v>
                </c:pt>
                <c:pt idx="198">
                  <c:v>44854</c:v>
                </c:pt>
                <c:pt idx="199">
                  <c:v>44861</c:v>
                </c:pt>
                <c:pt idx="200">
                  <c:v>44868</c:v>
                </c:pt>
                <c:pt idx="201">
                  <c:v>44875</c:v>
                </c:pt>
                <c:pt idx="202">
                  <c:v>44882</c:v>
                </c:pt>
                <c:pt idx="203">
                  <c:v>44889</c:v>
                </c:pt>
                <c:pt idx="204">
                  <c:v>44896</c:v>
                </c:pt>
                <c:pt idx="205">
                  <c:v>44903</c:v>
                </c:pt>
                <c:pt idx="206">
                  <c:v>44910</c:v>
                </c:pt>
                <c:pt idx="207">
                  <c:v>44917</c:v>
                </c:pt>
                <c:pt idx="208">
                  <c:v>44924</c:v>
                </c:pt>
                <c:pt idx="209">
                  <c:v>44931</c:v>
                </c:pt>
                <c:pt idx="210">
                  <c:v>44938</c:v>
                </c:pt>
                <c:pt idx="211">
                  <c:v>44945</c:v>
                </c:pt>
                <c:pt idx="212">
                  <c:v>44952</c:v>
                </c:pt>
                <c:pt idx="213">
                  <c:v>44959</c:v>
                </c:pt>
                <c:pt idx="214">
                  <c:v>44966</c:v>
                </c:pt>
                <c:pt idx="215">
                  <c:v>44973</c:v>
                </c:pt>
                <c:pt idx="216">
                  <c:v>44980</c:v>
                </c:pt>
                <c:pt idx="217">
                  <c:v>44987</c:v>
                </c:pt>
                <c:pt idx="218">
                  <c:v>44994</c:v>
                </c:pt>
                <c:pt idx="219">
                  <c:v>45001</c:v>
                </c:pt>
                <c:pt idx="220">
                  <c:v>45008</c:v>
                </c:pt>
                <c:pt idx="221">
                  <c:v>45015</c:v>
                </c:pt>
                <c:pt idx="222">
                  <c:v>45021</c:v>
                </c:pt>
                <c:pt idx="223">
                  <c:v>45029</c:v>
                </c:pt>
                <c:pt idx="224">
                  <c:v>45036</c:v>
                </c:pt>
                <c:pt idx="225">
                  <c:v>45043</c:v>
                </c:pt>
                <c:pt idx="226">
                  <c:v>45050</c:v>
                </c:pt>
                <c:pt idx="227">
                  <c:v>45057</c:v>
                </c:pt>
                <c:pt idx="228">
                  <c:v>45064</c:v>
                </c:pt>
                <c:pt idx="229">
                  <c:v>45071</c:v>
                </c:pt>
                <c:pt idx="230">
                  <c:v>45078</c:v>
                </c:pt>
                <c:pt idx="231">
                  <c:v>45085</c:v>
                </c:pt>
                <c:pt idx="232">
                  <c:v>45092</c:v>
                </c:pt>
                <c:pt idx="233">
                  <c:v>45099</c:v>
                </c:pt>
                <c:pt idx="234">
                  <c:v>45106</c:v>
                </c:pt>
                <c:pt idx="235">
                  <c:v>45113</c:v>
                </c:pt>
                <c:pt idx="236">
                  <c:v>45120</c:v>
                </c:pt>
                <c:pt idx="237">
                  <c:v>45127</c:v>
                </c:pt>
                <c:pt idx="238">
                  <c:v>45134</c:v>
                </c:pt>
                <c:pt idx="239">
                  <c:v>45141</c:v>
                </c:pt>
                <c:pt idx="240">
                  <c:v>45148</c:v>
                </c:pt>
                <c:pt idx="241">
                  <c:v>45155</c:v>
                </c:pt>
                <c:pt idx="242">
                  <c:v>45162</c:v>
                </c:pt>
                <c:pt idx="243">
                  <c:v>45169</c:v>
                </c:pt>
                <c:pt idx="244">
                  <c:v>45176</c:v>
                </c:pt>
                <c:pt idx="245">
                  <c:v>45183</c:v>
                </c:pt>
                <c:pt idx="246">
                  <c:v>45190</c:v>
                </c:pt>
                <c:pt idx="247">
                  <c:v>45197</c:v>
                </c:pt>
                <c:pt idx="248">
                  <c:v>45204</c:v>
                </c:pt>
                <c:pt idx="249">
                  <c:v>45211</c:v>
                </c:pt>
                <c:pt idx="250">
                  <c:v>45218</c:v>
                </c:pt>
                <c:pt idx="251">
                  <c:v>45225</c:v>
                </c:pt>
                <c:pt idx="252">
                  <c:v>45231</c:v>
                </c:pt>
                <c:pt idx="253">
                  <c:v>45239</c:v>
                </c:pt>
                <c:pt idx="254">
                  <c:v>45246</c:v>
                </c:pt>
                <c:pt idx="255">
                  <c:v>45253</c:v>
                </c:pt>
                <c:pt idx="256">
                  <c:v>45260</c:v>
                </c:pt>
                <c:pt idx="257">
                  <c:v>45267</c:v>
                </c:pt>
                <c:pt idx="258">
                  <c:v>45274</c:v>
                </c:pt>
                <c:pt idx="259">
                  <c:v>45281</c:v>
                </c:pt>
                <c:pt idx="260">
                  <c:v>45288</c:v>
                </c:pt>
                <c:pt idx="261">
                  <c:v>45295</c:v>
                </c:pt>
                <c:pt idx="262">
                  <c:v>45302</c:v>
                </c:pt>
                <c:pt idx="263">
                  <c:v>45309</c:v>
                </c:pt>
                <c:pt idx="264">
                  <c:v>45316</c:v>
                </c:pt>
                <c:pt idx="265">
                  <c:v>45323</c:v>
                </c:pt>
                <c:pt idx="266">
                  <c:v>45330</c:v>
                </c:pt>
                <c:pt idx="267">
                  <c:v>45337</c:v>
                </c:pt>
                <c:pt idx="268">
                  <c:v>45344</c:v>
                </c:pt>
                <c:pt idx="269">
                  <c:v>45351</c:v>
                </c:pt>
                <c:pt idx="270">
                  <c:v>45358</c:v>
                </c:pt>
                <c:pt idx="271">
                  <c:v>45365</c:v>
                </c:pt>
                <c:pt idx="272">
                  <c:v>45372</c:v>
                </c:pt>
                <c:pt idx="273">
                  <c:v>45378</c:v>
                </c:pt>
                <c:pt idx="274">
                  <c:v>45386</c:v>
                </c:pt>
                <c:pt idx="275">
                  <c:v>45393</c:v>
                </c:pt>
                <c:pt idx="276">
                  <c:v>45400</c:v>
                </c:pt>
                <c:pt idx="277">
                  <c:v>45407</c:v>
                </c:pt>
                <c:pt idx="278">
                  <c:v>45414</c:v>
                </c:pt>
                <c:pt idx="279">
                  <c:v>45421</c:v>
                </c:pt>
                <c:pt idx="280">
                  <c:v>45428</c:v>
                </c:pt>
                <c:pt idx="281">
                  <c:v>45435</c:v>
                </c:pt>
                <c:pt idx="282">
                  <c:v>45442</c:v>
                </c:pt>
                <c:pt idx="283">
                  <c:v>45449</c:v>
                </c:pt>
                <c:pt idx="284">
                  <c:v>45456</c:v>
                </c:pt>
                <c:pt idx="285">
                  <c:v>45463</c:v>
                </c:pt>
                <c:pt idx="286">
                  <c:v>45470</c:v>
                </c:pt>
                <c:pt idx="287">
                  <c:v>45477</c:v>
                </c:pt>
                <c:pt idx="288">
                  <c:v>45484</c:v>
                </c:pt>
                <c:pt idx="289">
                  <c:v>45491</c:v>
                </c:pt>
                <c:pt idx="290">
                  <c:v>45498</c:v>
                </c:pt>
                <c:pt idx="291">
                  <c:v>45505</c:v>
                </c:pt>
                <c:pt idx="292">
                  <c:v>45512</c:v>
                </c:pt>
                <c:pt idx="293">
                  <c:v>45519</c:v>
                </c:pt>
                <c:pt idx="294">
                  <c:v>45526</c:v>
                </c:pt>
                <c:pt idx="295">
                  <c:v>45533</c:v>
                </c:pt>
                <c:pt idx="296">
                  <c:v>45540</c:v>
                </c:pt>
                <c:pt idx="297">
                  <c:v>45547</c:v>
                </c:pt>
                <c:pt idx="298">
                  <c:v>45554</c:v>
                </c:pt>
                <c:pt idx="299">
                  <c:v>45561</c:v>
                </c:pt>
                <c:pt idx="300">
                  <c:v>45568</c:v>
                </c:pt>
                <c:pt idx="301">
                  <c:v>45575</c:v>
                </c:pt>
                <c:pt idx="302">
                  <c:v>45582</c:v>
                </c:pt>
                <c:pt idx="303">
                  <c:v>45589</c:v>
                </c:pt>
                <c:pt idx="304">
                  <c:v>45596</c:v>
                </c:pt>
                <c:pt idx="305">
                  <c:v>45603</c:v>
                </c:pt>
                <c:pt idx="306">
                  <c:v>45610</c:v>
                </c:pt>
                <c:pt idx="307">
                  <c:v>45617</c:v>
                </c:pt>
                <c:pt idx="308">
                  <c:v>45624</c:v>
                </c:pt>
                <c:pt idx="309">
                  <c:v>45631</c:v>
                </c:pt>
                <c:pt idx="310">
                  <c:v>45637</c:v>
                </c:pt>
                <c:pt idx="311">
                  <c:v>45645</c:v>
                </c:pt>
                <c:pt idx="312">
                  <c:v>45652</c:v>
                </c:pt>
              </c:numCache>
            </c:numRef>
          </c:xVal>
          <c:yVal>
            <c:numRef>
              <c:f>CETES!$B$1062:$B$1374</c:f>
              <c:numCache>
                <c:formatCode>#,##0.00</c:formatCode>
                <c:ptCount val="313"/>
                <c:pt idx="0">
                  <c:v>8.06</c:v>
                </c:pt>
                <c:pt idx="1">
                  <c:v>8</c:v>
                </c:pt>
                <c:pt idx="2">
                  <c:v>7.91</c:v>
                </c:pt>
                <c:pt idx="3">
                  <c:v>7.91</c:v>
                </c:pt>
                <c:pt idx="4">
                  <c:v>7.86</c:v>
                </c:pt>
                <c:pt idx="5">
                  <c:v>7.9</c:v>
                </c:pt>
                <c:pt idx="6">
                  <c:v>7.88</c:v>
                </c:pt>
                <c:pt idx="7">
                  <c:v>7.85</c:v>
                </c:pt>
                <c:pt idx="8">
                  <c:v>8.1</c:v>
                </c:pt>
                <c:pt idx="9">
                  <c:v>8</c:v>
                </c:pt>
                <c:pt idx="10">
                  <c:v>8.09</c:v>
                </c:pt>
                <c:pt idx="11">
                  <c:v>8.15</c:v>
                </c:pt>
                <c:pt idx="12">
                  <c:v>7.85</c:v>
                </c:pt>
                <c:pt idx="13">
                  <c:v>7.8</c:v>
                </c:pt>
                <c:pt idx="14">
                  <c:v>7.76</c:v>
                </c:pt>
                <c:pt idx="15">
                  <c:v>7.81</c:v>
                </c:pt>
                <c:pt idx="16">
                  <c:v>7.75</c:v>
                </c:pt>
                <c:pt idx="17">
                  <c:v>8.1999999999999993</c:v>
                </c:pt>
                <c:pt idx="18">
                  <c:v>8.02</c:v>
                </c:pt>
                <c:pt idx="19">
                  <c:v>8.0500000000000007</c:v>
                </c:pt>
                <c:pt idx="20">
                  <c:v>8.0299999999999994</c:v>
                </c:pt>
                <c:pt idx="21">
                  <c:v>8.0500000000000007</c:v>
                </c:pt>
                <c:pt idx="22">
                  <c:v>8.3000000000000007</c:v>
                </c:pt>
                <c:pt idx="23">
                  <c:v>8.2799999999999994</c:v>
                </c:pt>
                <c:pt idx="24">
                  <c:v>8.24</c:v>
                </c:pt>
                <c:pt idx="25">
                  <c:v>8.18</c:v>
                </c:pt>
                <c:pt idx="26">
                  <c:v>8.1</c:v>
                </c:pt>
                <c:pt idx="27">
                  <c:v>8.17</c:v>
                </c:pt>
                <c:pt idx="28">
                  <c:v>8.1300000000000008</c:v>
                </c:pt>
                <c:pt idx="29">
                  <c:v>8.15</c:v>
                </c:pt>
                <c:pt idx="30">
                  <c:v>8.01</c:v>
                </c:pt>
                <c:pt idx="31">
                  <c:v>8.15</c:v>
                </c:pt>
                <c:pt idx="32">
                  <c:v>8.0500000000000007</c:v>
                </c:pt>
                <c:pt idx="33">
                  <c:v>7.96</c:v>
                </c:pt>
                <c:pt idx="34">
                  <c:v>7.87</c:v>
                </c:pt>
                <c:pt idx="35">
                  <c:v>7.81</c:v>
                </c:pt>
                <c:pt idx="36">
                  <c:v>7.72</c:v>
                </c:pt>
                <c:pt idx="37">
                  <c:v>7.72</c:v>
                </c:pt>
                <c:pt idx="38">
                  <c:v>7.61</c:v>
                </c:pt>
                <c:pt idx="39">
                  <c:v>7.65</c:v>
                </c:pt>
                <c:pt idx="40">
                  <c:v>7.7</c:v>
                </c:pt>
                <c:pt idx="41">
                  <c:v>7.67</c:v>
                </c:pt>
                <c:pt idx="42">
                  <c:v>7.65</c:v>
                </c:pt>
                <c:pt idx="43">
                  <c:v>7.62</c:v>
                </c:pt>
                <c:pt idx="44">
                  <c:v>7.55</c:v>
                </c:pt>
                <c:pt idx="45">
                  <c:v>7.45</c:v>
                </c:pt>
                <c:pt idx="46">
                  <c:v>7.43</c:v>
                </c:pt>
                <c:pt idx="47">
                  <c:v>7.46</c:v>
                </c:pt>
                <c:pt idx="48">
                  <c:v>7.4</c:v>
                </c:pt>
                <c:pt idx="49">
                  <c:v>7.04</c:v>
                </c:pt>
                <c:pt idx="50">
                  <c:v>6.8</c:v>
                </c:pt>
                <c:pt idx="51">
                  <c:v>7.25</c:v>
                </c:pt>
                <c:pt idx="52">
                  <c:v>7.25</c:v>
                </c:pt>
                <c:pt idx="53">
                  <c:v>7.26</c:v>
                </c:pt>
                <c:pt idx="54">
                  <c:v>7</c:v>
                </c:pt>
                <c:pt idx="55">
                  <c:v>7.05</c:v>
                </c:pt>
                <c:pt idx="56">
                  <c:v>7.04</c:v>
                </c:pt>
                <c:pt idx="57">
                  <c:v>6.99</c:v>
                </c:pt>
                <c:pt idx="58">
                  <c:v>7</c:v>
                </c:pt>
                <c:pt idx="59">
                  <c:v>6.95</c:v>
                </c:pt>
                <c:pt idx="60">
                  <c:v>6.91</c:v>
                </c:pt>
                <c:pt idx="61">
                  <c:v>6.7</c:v>
                </c:pt>
                <c:pt idx="62">
                  <c:v>6.81</c:v>
                </c:pt>
                <c:pt idx="63">
                  <c:v>7.15</c:v>
                </c:pt>
                <c:pt idx="64">
                  <c:v>6.59</c:v>
                </c:pt>
                <c:pt idx="65">
                  <c:v>6.39</c:v>
                </c:pt>
                <c:pt idx="66">
                  <c:v>6.23</c:v>
                </c:pt>
                <c:pt idx="67">
                  <c:v>6</c:v>
                </c:pt>
                <c:pt idx="68">
                  <c:v>6</c:v>
                </c:pt>
                <c:pt idx="69">
                  <c:v>5.84</c:v>
                </c:pt>
                <c:pt idx="70">
                  <c:v>5.7</c:v>
                </c:pt>
                <c:pt idx="71">
                  <c:v>5.39</c:v>
                </c:pt>
                <c:pt idx="72">
                  <c:v>5.39</c:v>
                </c:pt>
                <c:pt idx="73">
                  <c:v>5.38</c:v>
                </c:pt>
                <c:pt idx="74">
                  <c:v>5.27</c:v>
                </c:pt>
                <c:pt idx="75">
                  <c:v>5.15</c:v>
                </c:pt>
                <c:pt idx="76">
                  <c:v>4.9800000000000004</c:v>
                </c:pt>
                <c:pt idx="77">
                  <c:v>4.8499999999999996</c:v>
                </c:pt>
                <c:pt idx="78">
                  <c:v>4.8099999999999996</c:v>
                </c:pt>
                <c:pt idx="79">
                  <c:v>4.95</c:v>
                </c:pt>
                <c:pt idx="80">
                  <c:v>4.9000000000000004</c:v>
                </c:pt>
                <c:pt idx="81">
                  <c:v>4.8</c:v>
                </c:pt>
                <c:pt idx="82">
                  <c:v>4.63</c:v>
                </c:pt>
                <c:pt idx="83">
                  <c:v>4.53</c:v>
                </c:pt>
                <c:pt idx="84">
                  <c:v>4.4800000000000004</c:v>
                </c:pt>
                <c:pt idx="85">
                  <c:v>4.43</c:v>
                </c:pt>
                <c:pt idx="86">
                  <c:v>4.5</c:v>
                </c:pt>
                <c:pt idx="87">
                  <c:v>4.42</c:v>
                </c:pt>
                <c:pt idx="88">
                  <c:v>4.41</c:v>
                </c:pt>
                <c:pt idx="89">
                  <c:v>4.45</c:v>
                </c:pt>
                <c:pt idx="90">
                  <c:v>4.25</c:v>
                </c:pt>
                <c:pt idx="91">
                  <c:v>4.18</c:v>
                </c:pt>
                <c:pt idx="92">
                  <c:v>4.26</c:v>
                </c:pt>
                <c:pt idx="93">
                  <c:v>4.22</c:v>
                </c:pt>
                <c:pt idx="94">
                  <c:v>4.1399999999999997</c:v>
                </c:pt>
                <c:pt idx="95">
                  <c:v>4.22</c:v>
                </c:pt>
                <c:pt idx="96">
                  <c:v>4.25</c:v>
                </c:pt>
                <c:pt idx="97">
                  <c:v>4.1399999999999997</c:v>
                </c:pt>
                <c:pt idx="98">
                  <c:v>4.24</c:v>
                </c:pt>
                <c:pt idx="99">
                  <c:v>4.28</c:v>
                </c:pt>
                <c:pt idx="100">
                  <c:v>4.3499999999999996</c:v>
                </c:pt>
                <c:pt idx="101">
                  <c:v>4.26</c:v>
                </c:pt>
                <c:pt idx="102">
                  <c:v>4.2300000000000004</c:v>
                </c:pt>
                <c:pt idx="103">
                  <c:v>4.2699999999999996</c:v>
                </c:pt>
                <c:pt idx="104">
                  <c:v>4.24</c:v>
                </c:pt>
                <c:pt idx="105">
                  <c:v>4.28</c:v>
                </c:pt>
                <c:pt idx="106">
                  <c:v>4.1900000000000004</c:v>
                </c:pt>
                <c:pt idx="107">
                  <c:v>4.1900000000000004</c:v>
                </c:pt>
                <c:pt idx="108">
                  <c:v>4.22</c:v>
                </c:pt>
                <c:pt idx="109">
                  <c:v>4.24</c:v>
                </c:pt>
                <c:pt idx="110">
                  <c:v>4.1900000000000004</c:v>
                </c:pt>
                <c:pt idx="111">
                  <c:v>4.01</c:v>
                </c:pt>
                <c:pt idx="112">
                  <c:v>4.0199999999999996</c:v>
                </c:pt>
                <c:pt idx="113">
                  <c:v>4.0599999999999996</c:v>
                </c:pt>
                <c:pt idx="114">
                  <c:v>4.05</c:v>
                </c:pt>
                <c:pt idx="115">
                  <c:v>4.05</c:v>
                </c:pt>
                <c:pt idx="116">
                  <c:v>4.03</c:v>
                </c:pt>
                <c:pt idx="117">
                  <c:v>4.08</c:v>
                </c:pt>
                <c:pt idx="118">
                  <c:v>4.07</c:v>
                </c:pt>
                <c:pt idx="119">
                  <c:v>4.07</c:v>
                </c:pt>
                <c:pt idx="120">
                  <c:v>4.0599999999999996</c:v>
                </c:pt>
                <c:pt idx="121">
                  <c:v>4.0599999999999996</c:v>
                </c:pt>
                <c:pt idx="122">
                  <c:v>4.07</c:v>
                </c:pt>
                <c:pt idx="123">
                  <c:v>4.0599999999999996</c:v>
                </c:pt>
                <c:pt idx="124">
                  <c:v>4.05</c:v>
                </c:pt>
                <c:pt idx="125">
                  <c:v>4.07</c:v>
                </c:pt>
                <c:pt idx="126">
                  <c:v>4.0199999999999996</c:v>
                </c:pt>
                <c:pt idx="127">
                  <c:v>4.04</c:v>
                </c:pt>
                <c:pt idx="128">
                  <c:v>4</c:v>
                </c:pt>
                <c:pt idx="129">
                  <c:v>4.03</c:v>
                </c:pt>
                <c:pt idx="130">
                  <c:v>4.3</c:v>
                </c:pt>
                <c:pt idx="131">
                  <c:v>4.3</c:v>
                </c:pt>
                <c:pt idx="132">
                  <c:v>4.3</c:v>
                </c:pt>
                <c:pt idx="133">
                  <c:v>4.33</c:v>
                </c:pt>
                <c:pt idx="134">
                  <c:v>4.3499999999999996</c:v>
                </c:pt>
                <c:pt idx="135">
                  <c:v>4.33</c:v>
                </c:pt>
                <c:pt idx="136">
                  <c:v>4.5</c:v>
                </c:pt>
                <c:pt idx="137">
                  <c:v>4.5</c:v>
                </c:pt>
                <c:pt idx="138">
                  <c:v>4.49</c:v>
                </c:pt>
                <c:pt idx="139">
                  <c:v>4.3899999999999997</c:v>
                </c:pt>
                <c:pt idx="140">
                  <c:v>4.49</c:v>
                </c:pt>
                <c:pt idx="141">
                  <c:v>4.5999999999999996</c:v>
                </c:pt>
                <c:pt idx="142">
                  <c:v>4.58</c:v>
                </c:pt>
                <c:pt idx="143">
                  <c:v>4.6900000000000004</c:v>
                </c:pt>
                <c:pt idx="144">
                  <c:v>4.8099999999999996</c:v>
                </c:pt>
                <c:pt idx="145">
                  <c:v>4.79</c:v>
                </c:pt>
                <c:pt idx="146">
                  <c:v>4.83</c:v>
                </c:pt>
                <c:pt idx="147">
                  <c:v>4.93</c:v>
                </c:pt>
                <c:pt idx="148">
                  <c:v>5</c:v>
                </c:pt>
                <c:pt idx="149">
                  <c:v>5.14</c:v>
                </c:pt>
                <c:pt idx="150">
                  <c:v>5</c:v>
                </c:pt>
                <c:pt idx="151">
                  <c:v>5.05</c:v>
                </c:pt>
                <c:pt idx="152">
                  <c:v>5.0999999999999996</c:v>
                </c:pt>
                <c:pt idx="153">
                  <c:v>5.2</c:v>
                </c:pt>
                <c:pt idx="154">
                  <c:v>5.2</c:v>
                </c:pt>
                <c:pt idx="155">
                  <c:v>5.45</c:v>
                </c:pt>
                <c:pt idx="156">
                  <c:v>5.49</c:v>
                </c:pt>
                <c:pt idx="157">
                  <c:v>5.51</c:v>
                </c:pt>
                <c:pt idx="158">
                  <c:v>5.52</c:v>
                </c:pt>
                <c:pt idx="159">
                  <c:v>5.57</c:v>
                </c:pt>
                <c:pt idx="160">
                  <c:v>5.5</c:v>
                </c:pt>
                <c:pt idx="161">
                  <c:v>5.84</c:v>
                </c:pt>
                <c:pt idx="162">
                  <c:v>5.75</c:v>
                </c:pt>
                <c:pt idx="163">
                  <c:v>5.95</c:v>
                </c:pt>
                <c:pt idx="164">
                  <c:v>5.94</c:v>
                </c:pt>
                <c:pt idx="165">
                  <c:v>6.06</c:v>
                </c:pt>
                <c:pt idx="166">
                  <c:v>6.15</c:v>
                </c:pt>
                <c:pt idx="167">
                  <c:v>6.33</c:v>
                </c:pt>
                <c:pt idx="168">
                  <c:v>6.49</c:v>
                </c:pt>
                <c:pt idx="169">
                  <c:v>6.52</c:v>
                </c:pt>
                <c:pt idx="170">
                  <c:v>6.52</c:v>
                </c:pt>
                <c:pt idx="171">
                  <c:v>6.52</c:v>
                </c:pt>
                <c:pt idx="172">
                  <c:v>6.5</c:v>
                </c:pt>
                <c:pt idx="173">
                  <c:v>6.68</c:v>
                </c:pt>
                <c:pt idx="174">
                  <c:v>6.85</c:v>
                </c:pt>
                <c:pt idx="175">
                  <c:v>6.97</c:v>
                </c:pt>
                <c:pt idx="176">
                  <c:v>6.93</c:v>
                </c:pt>
                <c:pt idx="177">
                  <c:v>6.9</c:v>
                </c:pt>
                <c:pt idx="178">
                  <c:v>7.01</c:v>
                </c:pt>
                <c:pt idx="179">
                  <c:v>7.32</c:v>
                </c:pt>
                <c:pt idx="180">
                  <c:v>7.15</c:v>
                </c:pt>
                <c:pt idx="181">
                  <c:v>7.5</c:v>
                </c:pt>
                <c:pt idx="182">
                  <c:v>7.56</c:v>
                </c:pt>
                <c:pt idx="183">
                  <c:v>7.7</c:v>
                </c:pt>
                <c:pt idx="184">
                  <c:v>7.55</c:v>
                </c:pt>
                <c:pt idx="185">
                  <c:v>7.74</c:v>
                </c:pt>
                <c:pt idx="186">
                  <c:v>8.0500000000000007</c:v>
                </c:pt>
                <c:pt idx="187">
                  <c:v>8.01</c:v>
                </c:pt>
                <c:pt idx="188">
                  <c:v>8.3000000000000007</c:v>
                </c:pt>
                <c:pt idx="189">
                  <c:v>8.35</c:v>
                </c:pt>
                <c:pt idx="190">
                  <c:v>8.35</c:v>
                </c:pt>
                <c:pt idx="191">
                  <c:v>8.35</c:v>
                </c:pt>
                <c:pt idx="192">
                  <c:v>8.5500000000000007</c:v>
                </c:pt>
                <c:pt idx="193">
                  <c:v>8.75</c:v>
                </c:pt>
                <c:pt idx="194">
                  <c:v>8.61</c:v>
                </c:pt>
                <c:pt idx="195">
                  <c:v>9.25</c:v>
                </c:pt>
                <c:pt idx="196">
                  <c:v>9</c:v>
                </c:pt>
                <c:pt idx="197">
                  <c:v>8.9</c:v>
                </c:pt>
                <c:pt idx="198">
                  <c:v>8.8000000000000007</c:v>
                </c:pt>
                <c:pt idx="199">
                  <c:v>9</c:v>
                </c:pt>
                <c:pt idx="200">
                  <c:v>9.4</c:v>
                </c:pt>
                <c:pt idx="201">
                  <c:v>9.19</c:v>
                </c:pt>
                <c:pt idx="202">
                  <c:v>9.3699999999999992</c:v>
                </c:pt>
                <c:pt idx="203">
                  <c:v>9.6999999999999993</c:v>
                </c:pt>
                <c:pt idx="204">
                  <c:v>9.68</c:v>
                </c:pt>
                <c:pt idx="205">
                  <c:v>10</c:v>
                </c:pt>
                <c:pt idx="206">
                  <c:v>9.8000000000000007</c:v>
                </c:pt>
                <c:pt idx="207">
                  <c:v>10.199999999999999</c:v>
                </c:pt>
                <c:pt idx="208">
                  <c:v>10.1</c:v>
                </c:pt>
                <c:pt idx="209">
                  <c:v>10.49</c:v>
                </c:pt>
                <c:pt idx="210">
                  <c:v>10.46</c:v>
                </c:pt>
                <c:pt idx="211">
                  <c:v>10.7</c:v>
                </c:pt>
                <c:pt idx="212">
                  <c:v>10.8</c:v>
                </c:pt>
                <c:pt idx="213">
                  <c:v>10.78</c:v>
                </c:pt>
                <c:pt idx="214">
                  <c:v>10.82</c:v>
                </c:pt>
                <c:pt idx="215">
                  <c:v>11.05</c:v>
                </c:pt>
                <c:pt idx="216">
                  <c:v>11.04</c:v>
                </c:pt>
                <c:pt idx="217">
                  <c:v>11.05</c:v>
                </c:pt>
                <c:pt idx="218">
                  <c:v>11.19</c:v>
                </c:pt>
                <c:pt idx="219">
                  <c:v>11.3</c:v>
                </c:pt>
                <c:pt idx="220">
                  <c:v>11.28</c:v>
                </c:pt>
                <c:pt idx="221">
                  <c:v>11.34</c:v>
                </c:pt>
                <c:pt idx="222">
                  <c:v>11.28</c:v>
                </c:pt>
                <c:pt idx="223">
                  <c:v>11.3</c:v>
                </c:pt>
                <c:pt idx="224">
                  <c:v>11.3</c:v>
                </c:pt>
                <c:pt idx="225">
                  <c:v>11.27</c:v>
                </c:pt>
                <c:pt idx="226">
                  <c:v>11.4</c:v>
                </c:pt>
                <c:pt idx="227">
                  <c:v>11.39</c:v>
                </c:pt>
                <c:pt idx="228">
                  <c:v>11.25</c:v>
                </c:pt>
                <c:pt idx="229">
                  <c:v>11.25</c:v>
                </c:pt>
                <c:pt idx="230">
                  <c:v>11.2</c:v>
                </c:pt>
                <c:pt idx="231">
                  <c:v>11.32</c:v>
                </c:pt>
                <c:pt idx="232">
                  <c:v>11.15</c:v>
                </c:pt>
                <c:pt idx="233">
                  <c:v>11.09</c:v>
                </c:pt>
                <c:pt idx="234">
                  <c:v>11.02</c:v>
                </c:pt>
                <c:pt idx="235">
                  <c:v>11.3</c:v>
                </c:pt>
                <c:pt idx="236">
                  <c:v>11.29</c:v>
                </c:pt>
                <c:pt idx="237">
                  <c:v>11.18</c:v>
                </c:pt>
                <c:pt idx="238">
                  <c:v>11.09</c:v>
                </c:pt>
                <c:pt idx="239">
                  <c:v>11.28</c:v>
                </c:pt>
                <c:pt idx="240">
                  <c:v>11.25</c:v>
                </c:pt>
                <c:pt idx="241">
                  <c:v>11.26</c:v>
                </c:pt>
                <c:pt idx="242">
                  <c:v>10.96</c:v>
                </c:pt>
                <c:pt idx="243">
                  <c:v>11.07</c:v>
                </c:pt>
                <c:pt idx="244">
                  <c:v>11</c:v>
                </c:pt>
                <c:pt idx="245">
                  <c:v>11.25</c:v>
                </c:pt>
                <c:pt idx="246">
                  <c:v>11</c:v>
                </c:pt>
                <c:pt idx="247">
                  <c:v>11.05</c:v>
                </c:pt>
                <c:pt idx="248">
                  <c:v>11.05</c:v>
                </c:pt>
                <c:pt idx="249">
                  <c:v>11.05</c:v>
                </c:pt>
                <c:pt idx="250">
                  <c:v>10.95</c:v>
                </c:pt>
                <c:pt idx="251">
                  <c:v>11.26</c:v>
                </c:pt>
                <c:pt idx="252">
                  <c:v>11.09</c:v>
                </c:pt>
                <c:pt idx="253">
                  <c:v>10.95</c:v>
                </c:pt>
                <c:pt idx="254">
                  <c:v>10.87</c:v>
                </c:pt>
                <c:pt idx="255">
                  <c:v>10.75</c:v>
                </c:pt>
                <c:pt idx="256">
                  <c:v>10.78</c:v>
                </c:pt>
                <c:pt idx="257">
                  <c:v>11.25</c:v>
                </c:pt>
                <c:pt idx="258">
                  <c:v>11.25</c:v>
                </c:pt>
                <c:pt idx="259">
                  <c:v>11.09</c:v>
                </c:pt>
                <c:pt idx="260">
                  <c:v>11.26</c:v>
                </c:pt>
                <c:pt idx="261">
                  <c:v>11.3</c:v>
                </c:pt>
                <c:pt idx="262">
                  <c:v>11.28</c:v>
                </c:pt>
                <c:pt idx="263">
                  <c:v>11.3</c:v>
                </c:pt>
                <c:pt idx="264">
                  <c:v>11.28</c:v>
                </c:pt>
                <c:pt idx="265">
                  <c:v>11.15</c:v>
                </c:pt>
                <c:pt idx="266">
                  <c:v>11.06</c:v>
                </c:pt>
                <c:pt idx="267">
                  <c:v>11.05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11.18</c:v>
                </c:pt>
                <c:pt idx="272">
                  <c:v>10.99</c:v>
                </c:pt>
                <c:pt idx="273">
                  <c:v>10.9</c:v>
                </c:pt>
                <c:pt idx="274">
                  <c:v>10.88</c:v>
                </c:pt>
                <c:pt idx="275">
                  <c:v>10.92</c:v>
                </c:pt>
                <c:pt idx="276">
                  <c:v>11.04</c:v>
                </c:pt>
                <c:pt idx="277">
                  <c:v>11.04</c:v>
                </c:pt>
                <c:pt idx="278">
                  <c:v>10.95</c:v>
                </c:pt>
                <c:pt idx="279">
                  <c:v>11.03</c:v>
                </c:pt>
                <c:pt idx="280">
                  <c:v>10.95</c:v>
                </c:pt>
                <c:pt idx="281">
                  <c:v>11</c:v>
                </c:pt>
                <c:pt idx="282">
                  <c:v>11.03</c:v>
                </c:pt>
                <c:pt idx="283">
                  <c:v>11.04</c:v>
                </c:pt>
                <c:pt idx="284">
                  <c:v>11</c:v>
                </c:pt>
                <c:pt idx="285">
                  <c:v>10.95</c:v>
                </c:pt>
                <c:pt idx="286">
                  <c:v>10.88</c:v>
                </c:pt>
                <c:pt idx="287">
                  <c:v>11.02</c:v>
                </c:pt>
                <c:pt idx="288">
                  <c:v>10.9</c:v>
                </c:pt>
                <c:pt idx="289">
                  <c:v>10.89</c:v>
                </c:pt>
                <c:pt idx="290">
                  <c:v>10.87</c:v>
                </c:pt>
                <c:pt idx="291">
                  <c:v>10.97</c:v>
                </c:pt>
                <c:pt idx="292">
                  <c:v>10.86</c:v>
                </c:pt>
                <c:pt idx="293">
                  <c:v>10.65</c:v>
                </c:pt>
                <c:pt idx="294">
                  <c:v>10.65</c:v>
                </c:pt>
                <c:pt idx="295">
                  <c:v>10.65</c:v>
                </c:pt>
                <c:pt idx="296">
                  <c:v>10.51</c:v>
                </c:pt>
                <c:pt idx="297">
                  <c:v>10.49</c:v>
                </c:pt>
                <c:pt idx="298">
                  <c:v>10.4</c:v>
                </c:pt>
                <c:pt idx="299">
                  <c:v>10.35</c:v>
                </c:pt>
                <c:pt idx="300">
                  <c:v>10.3</c:v>
                </c:pt>
                <c:pt idx="301">
                  <c:v>10.3</c:v>
                </c:pt>
                <c:pt idx="302">
                  <c:v>10.210000000000001</c:v>
                </c:pt>
                <c:pt idx="303">
                  <c:v>10.199999999999999</c:v>
                </c:pt>
                <c:pt idx="304">
                  <c:v>10.199999999999999</c:v>
                </c:pt>
                <c:pt idx="305">
                  <c:v>10.1</c:v>
                </c:pt>
                <c:pt idx="306">
                  <c:v>10.1</c:v>
                </c:pt>
                <c:pt idx="307">
                  <c:v>10.050000000000001</c:v>
                </c:pt>
                <c:pt idx="308">
                  <c:v>9.9499999999999993</c:v>
                </c:pt>
                <c:pt idx="309">
                  <c:v>9.9</c:v>
                </c:pt>
                <c:pt idx="310">
                  <c:v>9.9499999999999993</c:v>
                </c:pt>
                <c:pt idx="311">
                  <c:v>9.8000000000000007</c:v>
                </c:pt>
                <c:pt idx="312">
                  <c:v>9.74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41-419B-AE07-61C62E04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9773920"/>
        <c:axId val="-2006615392"/>
      </c:scatterChart>
      <c:valAx>
        <c:axId val="-6977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;@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2006615392"/>
        <c:crosses val="autoZero"/>
        <c:crossBetween val="midCat"/>
        <c:majorUnit val="250"/>
      </c:valAx>
      <c:valAx>
        <c:axId val="-20066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6977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TIIE 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'TIIE '!$A$19:$A$2784</c:f>
              <c:numCache>
                <c:formatCode>m/d/yyyy</c:formatCode>
                <c:ptCount val="2766"/>
                <c:pt idx="0">
                  <c:v>41641</c:v>
                </c:pt>
                <c:pt idx="1">
                  <c:v>41642</c:v>
                </c:pt>
                <c:pt idx="2">
                  <c:v>41645</c:v>
                </c:pt>
                <c:pt idx="3">
                  <c:v>41646</c:v>
                </c:pt>
                <c:pt idx="4">
                  <c:v>41647</c:v>
                </c:pt>
                <c:pt idx="5">
                  <c:v>41648</c:v>
                </c:pt>
                <c:pt idx="6">
                  <c:v>41649</c:v>
                </c:pt>
                <c:pt idx="7">
                  <c:v>41652</c:v>
                </c:pt>
                <c:pt idx="8">
                  <c:v>41653</c:v>
                </c:pt>
                <c:pt idx="9">
                  <c:v>41654</c:v>
                </c:pt>
                <c:pt idx="10">
                  <c:v>41655</c:v>
                </c:pt>
                <c:pt idx="11">
                  <c:v>41656</c:v>
                </c:pt>
                <c:pt idx="12">
                  <c:v>41659</c:v>
                </c:pt>
                <c:pt idx="13">
                  <c:v>41660</c:v>
                </c:pt>
                <c:pt idx="14">
                  <c:v>41661</c:v>
                </c:pt>
                <c:pt idx="15">
                  <c:v>41662</c:v>
                </c:pt>
                <c:pt idx="16">
                  <c:v>41663</c:v>
                </c:pt>
                <c:pt idx="17">
                  <c:v>41666</c:v>
                </c:pt>
                <c:pt idx="18">
                  <c:v>41667</c:v>
                </c:pt>
                <c:pt idx="19">
                  <c:v>41668</c:v>
                </c:pt>
                <c:pt idx="20">
                  <c:v>41669</c:v>
                </c:pt>
                <c:pt idx="21">
                  <c:v>41670</c:v>
                </c:pt>
                <c:pt idx="22">
                  <c:v>41674</c:v>
                </c:pt>
                <c:pt idx="23">
                  <c:v>41675</c:v>
                </c:pt>
                <c:pt idx="24">
                  <c:v>41676</c:v>
                </c:pt>
                <c:pt idx="25">
                  <c:v>41677</c:v>
                </c:pt>
                <c:pt idx="26">
                  <c:v>41680</c:v>
                </c:pt>
                <c:pt idx="27">
                  <c:v>41681</c:v>
                </c:pt>
                <c:pt idx="28">
                  <c:v>41682</c:v>
                </c:pt>
                <c:pt idx="29">
                  <c:v>41683</c:v>
                </c:pt>
                <c:pt idx="30">
                  <c:v>41684</c:v>
                </c:pt>
                <c:pt idx="31">
                  <c:v>41687</c:v>
                </c:pt>
                <c:pt idx="32">
                  <c:v>41688</c:v>
                </c:pt>
                <c:pt idx="33">
                  <c:v>41689</c:v>
                </c:pt>
                <c:pt idx="34">
                  <c:v>41690</c:v>
                </c:pt>
                <c:pt idx="35">
                  <c:v>41691</c:v>
                </c:pt>
                <c:pt idx="36">
                  <c:v>41694</c:v>
                </c:pt>
                <c:pt idx="37">
                  <c:v>41695</c:v>
                </c:pt>
                <c:pt idx="38">
                  <c:v>41696</c:v>
                </c:pt>
                <c:pt idx="39">
                  <c:v>41697</c:v>
                </c:pt>
                <c:pt idx="40">
                  <c:v>41698</c:v>
                </c:pt>
                <c:pt idx="41">
                  <c:v>41701</c:v>
                </c:pt>
                <c:pt idx="42">
                  <c:v>41702</c:v>
                </c:pt>
                <c:pt idx="43">
                  <c:v>41703</c:v>
                </c:pt>
                <c:pt idx="44">
                  <c:v>41704</c:v>
                </c:pt>
                <c:pt idx="45">
                  <c:v>41705</c:v>
                </c:pt>
                <c:pt idx="46">
                  <c:v>41708</c:v>
                </c:pt>
                <c:pt idx="47">
                  <c:v>41709</c:v>
                </c:pt>
                <c:pt idx="48">
                  <c:v>41710</c:v>
                </c:pt>
                <c:pt idx="49">
                  <c:v>41711</c:v>
                </c:pt>
                <c:pt idx="50">
                  <c:v>41712</c:v>
                </c:pt>
                <c:pt idx="51">
                  <c:v>41716</c:v>
                </c:pt>
                <c:pt idx="52">
                  <c:v>41717</c:v>
                </c:pt>
                <c:pt idx="53">
                  <c:v>41718</c:v>
                </c:pt>
                <c:pt idx="54">
                  <c:v>41719</c:v>
                </c:pt>
                <c:pt idx="55">
                  <c:v>41722</c:v>
                </c:pt>
                <c:pt idx="56">
                  <c:v>41723</c:v>
                </c:pt>
                <c:pt idx="57">
                  <c:v>41724</c:v>
                </c:pt>
                <c:pt idx="58">
                  <c:v>41725</c:v>
                </c:pt>
                <c:pt idx="59">
                  <c:v>41726</c:v>
                </c:pt>
                <c:pt idx="60">
                  <c:v>41729</c:v>
                </c:pt>
                <c:pt idx="61">
                  <c:v>41730</c:v>
                </c:pt>
                <c:pt idx="62">
                  <c:v>41731</c:v>
                </c:pt>
                <c:pt idx="63">
                  <c:v>41732</c:v>
                </c:pt>
                <c:pt idx="64">
                  <c:v>41733</c:v>
                </c:pt>
                <c:pt idx="65">
                  <c:v>41736</c:v>
                </c:pt>
                <c:pt idx="66">
                  <c:v>41737</c:v>
                </c:pt>
                <c:pt idx="67">
                  <c:v>41738</c:v>
                </c:pt>
                <c:pt idx="68">
                  <c:v>41739</c:v>
                </c:pt>
                <c:pt idx="69">
                  <c:v>41740</c:v>
                </c:pt>
                <c:pt idx="70">
                  <c:v>41743</c:v>
                </c:pt>
                <c:pt idx="71">
                  <c:v>41744</c:v>
                </c:pt>
                <c:pt idx="72">
                  <c:v>41745</c:v>
                </c:pt>
                <c:pt idx="73">
                  <c:v>41750</c:v>
                </c:pt>
                <c:pt idx="74">
                  <c:v>41751</c:v>
                </c:pt>
                <c:pt idx="75">
                  <c:v>41752</c:v>
                </c:pt>
                <c:pt idx="76">
                  <c:v>41753</c:v>
                </c:pt>
                <c:pt idx="77">
                  <c:v>41754</c:v>
                </c:pt>
                <c:pt idx="78">
                  <c:v>41757</c:v>
                </c:pt>
                <c:pt idx="79">
                  <c:v>41758</c:v>
                </c:pt>
                <c:pt idx="80">
                  <c:v>41759</c:v>
                </c:pt>
                <c:pt idx="81">
                  <c:v>41761</c:v>
                </c:pt>
                <c:pt idx="82">
                  <c:v>41764</c:v>
                </c:pt>
                <c:pt idx="83">
                  <c:v>41765</c:v>
                </c:pt>
                <c:pt idx="84">
                  <c:v>41766</c:v>
                </c:pt>
                <c:pt idx="85">
                  <c:v>41767</c:v>
                </c:pt>
                <c:pt idx="86">
                  <c:v>41768</c:v>
                </c:pt>
                <c:pt idx="87">
                  <c:v>41771</c:v>
                </c:pt>
                <c:pt idx="88">
                  <c:v>41772</c:v>
                </c:pt>
                <c:pt idx="89">
                  <c:v>41773</c:v>
                </c:pt>
                <c:pt idx="90">
                  <c:v>41774</c:v>
                </c:pt>
                <c:pt idx="91">
                  <c:v>41775</c:v>
                </c:pt>
                <c:pt idx="92">
                  <c:v>41778</c:v>
                </c:pt>
                <c:pt idx="93">
                  <c:v>41779</c:v>
                </c:pt>
                <c:pt idx="94">
                  <c:v>41780</c:v>
                </c:pt>
                <c:pt idx="95">
                  <c:v>41781</c:v>
                </c:pt>
                <c:pt idx="96">
                  <c:v>41782</c:v>
                </c:pt>
                <c:pt idx="97">
                  <c:v>41785</c:v>
                </c:pt>
                <c:pt idx="98">
                  <c:v>41786</c:v>
                </c:pt>
                <c:pt idx="99">
                  <c:v>41787</c:v>
                </c:pt>
                <c:pt idx="100">
                  <c:v>41788</c:v>
                </c:pt>
                <c:pt idx="101">
                  <c:v>41789</c:v>
                </c:pt>
                <c:pt idx="102">
                  <c:v>41792</c:v>
                </c:pt>
                <c:pt idx="103">
                  <c:v>41793</c:v>
                </c:pt>
                <c:pt idx="104">
                  <c:v>41794</c:v>
                </c:pt>
                <c:pt idx="105">
                  <c:v>41795</c:v>
                </c:pt>
                <c:pt idx="106">
                  <c:v>41796</c:v>
                </c:pt>
                <c:pt idx="107">
                  <c:v>41799</c:v>
                </c:pt>
                <c:pt idx="108">
                  <c:v>41800</c:v>
                </c:pt>
                <c:pt idx="109">
                  <c:v>41801</c:v>
                </c:pt>
                <c:pt idx="110">
                  <c:v>41802</c:v>
                </c:pt>
                <c:pt idx="111">
                  <c:v>41803</c:v>
                </c:pt>
                <c:pt idx="112">
                  <c:v>41806</c:v>
                </c:pt>
                <c:pt idx="113">
                  <c:v>41807</c:v>
                </c:pt>
                <c:pt idx="114">
                  <c:v>41808</c:v>
                </c:pt>
                <c:pt idx="115">
                  <c:v>41809</c:v>
                </c:pt>
                <c:pt idx="116">
                  <c:v>41810</c:v>
                </c:pt>
                <c:pt idx="117">
                  <c:v>41813</c:v>
                </c:pt>
                <c:pt idx="118">
                  <c:v>41814</c:v>
                </c:pt>
                <c:pt idx="119">
                  <c:v>41815</c:v>
                </c:pt>
                <c:pt idx="120">
                  <c:v>41816</c:v>
                </c:pt>
                <c:pt idx="121">
                  <c:v>41817</c:v>
                </c:pt>
                <c:pt idx="122">
                  <c:v>41820</c:v>
                </c:pt>
                <c:pt idx="123">
                  <c:v>41821</c:v>
                </c:pt>
                <c:pt idx="124">
                  <c:v>41822</c:v>
                </c:pt>
                <c:pt idx="125">
                  <c:v>41823</c:v>
                </c:pt>
                <c:pt idx="126">
                  <c:v>41824</c:v>
                </c:pt>
                <c:pt idx="127">
                  <c:v>41827</c:v>
                </c:pt>
                <c:pt idx="128">
                  <c:v>41828</c:v>
                </c:pt>
                <c:pt idx="129">
                  <c:v>41829</c:v>
                </c:pt>
                <c:pt idx="130">
                  <c:v>41830</c:v>
                </c:pt>
                <c:pt idx="131">
                  <c:v>41831</c:v>
                </c:pt>
                <c:pt idx="132">
                  <c:v>41834</c:v>
                </c:pt>
                <c:pt idx="133">
                  <c:v>41835</c:v>
                </c:pt>
                <c:pt idx="134">
                  <c:v>41836</c:v>
                </c:pt>
                <c:pt idx="135">
                  <c:v>41837</c:v>
                </c:pt>
                <c:pt idx="136">
                  <c:v>41838</c:v>
                </c:pt>
                <c:pt idx="137">
                  <c:v>41841</c:v>
                </c:pt>
                <c:pt idx="138">
                  <c:v>41842</c:v>
                </c:pt>
                <c:pt idx="139">
                  <c:v>41843</c:v>
                </c:pt>
                <c:pt idx="140">
                  <c:v>41844</c:v>
                </c:pt>
                <c:pt idx="141">
                  <c:v>41845</c:v>
                </c:pt>
                <c:pt idx="142">
                  <c:v>41848</c:v>
                </c:pt>
                <c:pt idx="143">
                  <c:v>41849</c:v>
                </c:pt>
                <c:pt idx="144">
                  <c:v>41850</c:v>
                </c:pt>
                <c:pt idx="145">
                  <c:v>41851</c:v>
                </c:pt>
                <c:pt idx="146">
                  <c:v>41852</c:v>
                </c:pt>
                <c:pt idx="147">
                  <c:v>41855</c:v>
                </c:pt>
                <c:pt idx="148">
                  <c:v>41856</c:v>
                </c:pt>
                <c:pt idx="149">
                  <c:v>41857</c:v>
                </c:pt>
                <c:pt idx="150">
                  <c:v>41858</c:v>
                </c:pt>
                <c:pt idx="151">
                  <c:v>41859</c:v>
                </c:pt>
                <c:pt idx="152">
                  <c:v>41862</c:v>
                </c:pt>
                <c:pt idx="153">
                  <c:v>41863</c:v>
                </c:pt>
                <c:pt idx="154">
                  <c:v>41864</c:v>
                </c:pt>
                <c:pt idx="155">
                  <c:v>41865</c:v>
                </c:pt>
                <c:pt idx="156">
                  <c:v>41866</c:v>
                </c:pt>
                <c:pt idx="157">
                  <c:v>41869</c:v>
                </c:pt>
                <c:pt idx="158">
                  <c:v>41870</c:v>
                </c:pt>
                <c:pt idx="159">
                  <c:v>41871</c:v>
                </c:pt>
                <c:pt idx="160">
                  <c:v>41872</c:v>
                </c:pt>
                <c:pt idx="161">
                  <c:v>41873</c:v>
                </c:pt>
                <c:pt idx="162">
                  <c:v>41876</c:v>
                </c:pt>
                <c:pt idx="163">
                  <c:v>41877</c:v>
                </c:pt>
                <c:pt idx="164">
                  <c:v>41878</c:v>
                </c:pt>
                <c:pt idx="165">
                  <c:v>41879</c:v>
                </c:pt>
                <c:pt idx="166">
                  <c:v>41880</c:v>
                </c:pt>
                <c:pt idx="167">
                  <c:v>41883</c:v>
                </c:pt>
                <c:pt idx="168">
                  <c:v>41884</c:v>
                </c:pt>
                <c:pt idx="169">
                  <c:v>41885</c:v>
                </c:pt>
                <c:pt idx="170">
                  <c:v>41886</c:v>
                </c:pt>
                <c:pt idx="171">
                  <c:v>41887</c:v>
                </c:pt>
                <c:pt idx="172">
                  <c:v>41890</c:v>
                </c:pt>
                <c:pt idx="173">
                  <c:v>41891</c:v>
                </c:pt>
                <c:pt idx="174">
                  <c:v>41892</c:v>
                </c:pt>
                <c:pt idx="175">
                  <c:v>41893</c:v>
                </c:pt>
                <c:pt idx="176">
                  <c:v>41894</c:v>
                </c:pt>
                <c:pt idx="177">
                  <c:v>41897</c:v>
                </c:pt>
                <c:pt idx="178">
                  <c:v>41899</c:v>
                </c:pt>
                <c:pt idx="179">
                  <c:v>41900</c:v>
                </c:pt>
                <c:pt idx="180">
                  <c:v>41901</c:v>
                </c:pt>
                <c:pt idx="181">
                  <c:v>41904</c:v>
                </c:pt>
                <c:pt idx="182">
                  <c:v>41905</c:v>
                </c:pt>
                <c:pt idx="183">
                  <c:v>41906</c:v>
                </c:pt>
                <c:pt idx="184">
                  <c:v>41907</c:v>
                </c:pt>
                <c:pt idx="185">
                  <c:v>41908</c:v>
                </c:pt>
                <c:pt idx="186">
                  <c:v>41911</c:v>
                </c:pt>
                <c:pt idx="187">
                  <c:v>41912</c:v>
                </c:pt>
                <c:pt idx="188">
                  <c:v>41913</c:v>
                </c:pt>
                <c:pt idx="189">
                  <c:v>41914</c:v>
                </c:pt>
                <c:pt idx="190">
                  <c:v>41915</c:v>
                </c:pt>
                <c:pt idx="191">
                  <c:v>41918</c:v>
                </c:pt>
                <c:pt idx="192">
                  <c:v>41919</c:v>
                </c:pt>
                <c:pt idx="193">
                  <c:v>41920</c:v>
                </c:pt>
                <c:pt idx="194">
                  <c:v>41921</c:v>
                </c:pt>
                <c:pt idx="195">
                  <c:v>41922</c:v>
                </c:pt>
                <c:pt idx="196">
                  <c:v>41925</c:v>
                </c:pt>
                <c:pt idx="197">
                  <c:v>41926</c:v>
                </c:pt>
                <c:pt idx="198">
                  <c:v>41927</c:v>
                </c:pt>
                <c:pt idx="199">
                  <c:v>41928</c:v>
                </c:pt>
                <c:pt idx="200">
                  <c:v>41929</c:v>
                </c:pt>
                <c:pt idx="201">
                  <c:v>41932</c:v>
                </c:pt>
                <c:pt idx="202">
                  <c:v>41933</c:v>
                </c:pt>
                <c:pt idx="203">
                  <c:v>41934</c:v>
                </c:pt>
                <c:pt idx="204">
                  <c:v>41935</c:v>
                </c:pt>
                <c:pt idx="205">
                  <c:v>41936</c:v>
                </c:pt>
                <c:pt idx="206">
                  <c:v>41939</c:v>
                </c:pt>
                <c:pt idx="207">
                  <c:v>41940</c:v>
                </c:pt>
                <c:pt idx="208">
                  <c:v>41941</c:v>
                </c:pt>
                <c:pt idx="209">
                  <c:v>41942</c:v>
                </c:pt>
                <c:pt idx="210">
                  <c:v>41943</c:v>
                </c:pt>
                <c:pt idx="211">
                  <c:v>41946</c:v>
                </c:pt>
                <c:pt idx="212">
                  <c:v>41947</c:v>
                </c:pt>
                <c:pt idx="213">
                  <c:v>41948</c:v>
                </c:pt>
                <c:pt idx="214">
                  <c:v>41949</c:v>
                </c:pt>
                <c:pt idx="215">
                  <c:v>41950</c:v>
                </c:pt>
                <c:pt idx="216">
                  <c:v>41953</c:v>
                </c:pt>
                <c:pt idx="217">
                  <c:v>41954</c:v>
                </c:pt>
                <c:pt idx="218">
                  <c:v>41955</c:v>
                </c:pt>
                <c:pt idx="219">
                  <c:v>41956</c:v>
                </c:pt>
                <c:pt idx="220">
                  <c:v>41957</c:v>
                </c:pt>
                <c:pt idx="221">
                  <c:v>41961</c:v>
                </c:pt>
                <c:pt idx="222">
                  <c:v>41962</c:v>
                </c:pt>
                <c:pt idx="223">
                  <c:v>41963</c:v>
                </c:pt>
                <c:pt idx="224">
                  <c:v>41964</c:v>
                </c:pt>
                <c:pt idx="225">
                  <c:v>41967</c:v>
                </c:pt>
                <c:pt idx="226">
                  <c:v>41968</c:v>
                </c:pt>
                <c:pt idx="227">
                  <c:v>41969</c:v>
                </c:pt>
                <c:pt idx="228">
                  <c:v>41970</c:v>
                </c:pt>
                <c:pt idx="229">
                  <c:v>41971</c:v>
                </c:pt>
                <c:pt idx="230">
                  <c:v>41974</c:v>
                </c:pt>
                <c:pt idx="231">
                  <c:v>41975</c:v>
                </c:pt>
                <c:pt idx="232">
                  <c:v>41976</c:v>
                </c:pt>
                <c:pt idx="233">
                  <c:v>41977</c:v>
                </c:pt>
                <c:pt idx="234">
                  <c:v>41978</c:v>
                </c:pt>
                <c:pt idx="235">
                  <c:v>41981</c:v>
                </c:pt>
                <c:pt idx="236">
                  <c:v>41982</c:v>
                </c:pt>
                <c:pt idx="237">
                  <c:v>41983</c:v>
                </c:pt>
                <c:pt idx="238">
                  <c:v>41984</c:v>
                </c:pt>
                <c:pt idx="239">
                  <c:v>41988</c:v>
                </c:pt>
                <c:pt idx="240">
                  <c:v>41989</c:v>
                </c:pt>
                <c:pt idx="241">
                  <c:v>41990</c:v>
                </c:pt>
                <c:pt idx="242">
                  <c:v>41991</c:v>
                </c:pt>
                <c:pt idx="243">
                  <c:v>41992</c:v>
                </c:pt>
                <c:pt idx="244">
                  <c:v>41995</c:v>
                </c:pt>
                <c:pt idx="245">
                  <c:v>41996</c:v>
                </c:pt>
                <c:pt idx="246">
                  <c:v>41997</c:v>
                </c:pt>
                <c:pt idx="247">
                  <c:v>41999</c:v>
                </c:pt>
                <c:pt idx="248">
                  <c:v>42002</c:v>
                </c:pt>
                <c:pt idx="249">
                  <c:v>42003</c:v>
                </c:pt>
                <c:pt idx="250">
                  <c:v>42004</c:v>
                </c:pt>
                <c:pt idx="251">
                  <c:v>42006</c:v>
                </c:pt>
                <c:pt idx="252">
                  <c:v>42009</c:v>
                </c:pt>
                <c:pt idx="253">
                  <c:v>42010</c:v>
                </c:pt>
                <c:pt idx="254">
                  <c:v>42011</c:v>
                </c:pt>
                <c:pt idx="255">
                  <c:v>42012</c:v>
                </c:pt>
                <c:pt idx="256">
                  <c:v>42013</c:v>
                </c:pt>
                <c:pt idx="257">
                  <c:v>42016</c:v>
                </c:pt>
                <c:pt idx="258">
                  <c:v>42017</c:v>
                </c:pt>
                <c:pt idx="259">
                  <c:v>42018</c:v>
                </c:pt>
                <c:pt idx="260">
                  <c:v>42019</c:v>
                </c:pt>
                <c:pt idx="261">
                  <c:v>42020</c:v>
                </c:pt>
                <c:pt idx="262">
                  <c:v>42023</c:v>
                </c:pt>
                <c:pt idx="263">
                  <c:v>42024</c:v>
                </c:pt>
                <c:pt idx="264">
                  <c:v>42025</c:v>
                </c:pt>
                <c:pt idx="265">
                  <c:v>42026</c:v>
                </c:pt>
                <c:pt idx="266">
                  <c:v>42027</c:v>
                </c:pt>
                <c:pt idx="267">
                  <c:v>42030</c:v>
                </c:pt>
                <c:pt idx="268">
                  <c:v>42031</c:v>
                </c:pt>
                <c:pt idx="269">
                  <c:v>42032</c:v>
                </c:pt>
                <c:pt idx="270">
                  <c:v>42033</c:v>
                </c:pt>
                <c:pt idx="271">
                  <c:v>42034</c:v>
                </c:pt>
                <c:pt idx="272">
                  <c:v>42038</c:v>
                </c:pt>
                <c:pt idx="273">
                  <c:v>42039</c:v>
                </c:pt>
                <c:pt idx="274">
                  <c:v>42040</c:v>
                </c:pt>
                <c:pt idx="275">
                  <c:v>42041</c:v>
                </c:pt>
                <c:pt idx="276">
                  <c:v>42044</c:v>
                </c:pt>
                <c:pt idx="277">
                  <c:v>42045</c:v>
                </c:pt>
                <c:pt idx="278">
                  <c:v>42046</c:v>
                </c:pt>
                <c:pt idx="279">
                  <c:v>42047</c:v>
                </c:pt>
                <c:pt idx="280">
                  <c:v>42048</c:v>
                </c:pt>
                <c:pt idx="281">
                  <c:v>42051</c:v>
                </c:pt>
                <c:pt idx="282">
                  <c:v>42052</c:v>
                </c:pt>
                <c:pt idx="283">
                  <c:v>42053</c:v>
                </c:pt>
                <c:pt idx="284">
                  <c:v>42054</c:v>
                </c:pt>
                <c:pt idx="285">
                  <c:v>42055</c:v>
                </c:pt>
                <c:pt idx="286">
                  <c:v>42058</c:v>
                </c:pt>
                <c:pt idx="287">
                  <c:v>42059</c:v>
                </c:pt>
                <c:pt idx="288">
                  <c:v>42060</c:v>
                </c:pt>
                <c:pt idx="289">
                  <c:v>42061</c:v>
                </c:pt>
                <c:pt idx="290">
                  <c:v>42062</c:v>
                </c:pt>
                <c:pt idx="291">
                  <c:v>42065</c:v>
                </c:pt>
                <c:pt idx="292">
                  <c:v>42066</c:v>
                </c:pt>
                <c:pt idx="293">
                  <c:v>42067</c:v>
                </c:pt>
                <c:pt idx="294">
                  <c:v>42068</c:v>
                </c:pt>
                <c:pt idx="295">
                  <c:v>42069</c:v>
                </c:pt>
                <c:pt idx="296">
                  <c:v>42072</c:v>
                </c:pt>
                <c:pt idx="297">
                  <c:v>42073</c:v>
                </c:pt>
                <c:pt idx="298">
                  <c:v>42074</c:v>
                </c:pt>
                <c:pt idx="299">
                  <c:v>42075</c:v>
                </c:pt>
                <c:pt idx="300">
                  <c:v>42076</c:v>
                </c:pt>
                <c:pt idx="301">
                  <c:v>42080</c:v>
                </c:pt>
                <c:pt idx="302">
                  <c:v>42081</c:v>
                </c:pt>
                <c:pt idx="303">
                  <c:v>42082</c:v>
                </c:pt>
                <c:pt idx="304">
                  <c:v>42083</c:v>
                </c:pt>
                <c:pt idx="305">
                  <c:v>42086</c:v>
                </c:pt>
                <c:pt idx="306">
                  <c:v>42087</c:v>
                </c:pt>
                <c:pt idx="307">
                  <c:v>42088</c:v>
                </c:pt>
                <c:pt idx="308">
                  <c:v>42089</c:v>
                </c:pt>
                <c:pt idx="309">
                  <c:v>42090</c:v>
                </c:pt>
                <c:pt idx="310">
                  <c:v>42093</c:v>
                </c:pt>
                <c:pt idx="311">
                  <c:v>42094</c:v>
                </c:pt>
                <c:pt idx="312">
                  <c:v>42095</c:v>
                </c:pt>
                <c:pt idx="313">
                  <c:v>42100</c:v>
                </c:pt>
                <c:pt idx="314">
                  <c:v>42101</c:v>
                </c:pt>
                <c:pt idx="315">
                  <c:v>42102</c:v>
                </c:pt>
                <c:pt idx="316">
                  <c:v>42103</c:v>
                </c:pt>
                <c:pt idx="317">
                  <c:v>42104</c:v>
                </c:pt>
                <c:pt idx="318">
                  <c:v>42107</c:v>
                </c:pt>
                <c:pt idx="319">
                  <c:v>42108</c:v>
                </c:pt>
                <c:pt idx="320">
                  <c:v>42109</c:v>
                </c:pt>
                <c:pt idx="321">
                  <c:v>42110</c:v>
                </c:pt>
                <c:pt idx="322">
                  <c:v>42111</c:v>
                </c:pt>
                <c:pt idx="323">
                  <c:v>42114</c:v>
                </c:pt>
                <c:pt idx="324">
                  <c:v>42115</c:v>
                </c:pt>
                <c:pt idx="325">
                  <c:v>42116</c:v>
                </c:pt>
                <c:pt idx="326">
                  <c:v>42117</c:v>
                </c:pt>
                <c:pt idx="327">
                  <c:v>42118</c:v>
                </c:pt>
                <c:pt idx="328">
                  <c:v>42121</c:v>
                </c:pt>
                <c:pt idx="329">
                  <c:v>42122</c:v>
                </c:pt>
                <c:pt idx="330">
                  <c:v>42123</c:v>
                </c:pt>
                <c:pt idx="331">
                  <c:v>42124</c:v>
                </c:pt>
                <c:pt idx="332">
                  <c:v>42128</c:v>
                </c:pt>
                <c:pt idx="333">
                  <c:v>42129</c:v>
                </c:pt>
                <c:pt idx="334">
                  <c:v>42130</c:v>
                </c:pt>
                <c:pt idx="335">
                  <c:v>42131</c:v>
                </c:pt>
                <c:pt idx="336">
                  <c:v>42132</c:v>
                </c:pt>
                <c:pt idx="337">
                  <c:v>42135</c:v>
                </c:pt>
                <c:pt idx="338">
                  <c:v>42136</c:v>
                </c:pt>
                <c:pt idx="339">
                  <c:v>42137</c:v>
                </c:pt>
                <c:pt idx="340">
                  <c:v>42138</c:v>
                </c:pt>
                <c:pt idx="341">
                  <c:v>42139</c:v>
                </c:pt>
                <c:pt idx="342">
                  <c:v>42142</c:v>
                </c:pt>
                <c:pt idx="343">
                  <c:v>42143</c:v>
                </c:pt>
                <c:pt idx="344">
                  <c:v>42144</c:v>
                </c:pt>
                <c:pt idx="345">
                  <c:v>42145</c:v>
                </c:pt>
                <c:pt idx="346">
                  <c:v>42146</c:v>
                </c:pt>
                <c:pt idx="347">
                  <c:v>42149</c:v>
                </c:pt>
                <c:pt idx="348">
                  <c:v>42150</c:v>
                </c:pt>
                <c:pt idx="349">
                  <c:v>42151</c:v>
                </c:pt>
                <c:pt idx="350">
                  <c:v>42152</c:v>
                </c:pt>
                <c:pt idx="351">
                  <c:v>42153</c:v>
                </c:pt>
                <c:pt idx="352">
                  <c:v>42156</c:v>
                </c:pt>
                <c:pt idx="353">
                  <c:v>42157</c:v>
                </c:pt>
                <c:pt idx="354">
                  <c:v>42158</c:v>
                </c:pt>
                <c:pt idx="355">
                  <c:v>42159</c:v>
                </c:pt>
                <c:pt idx="356">
                  <c:v>42160</c:v>
                </c:pt>
                <c:pt idx="357">
                  <c:v>42163</c:v>
                </c:pt>
                <c:pt idx="358">
                  <c:v>42164</c:v>
                </c:pt>
                <c:pt idx="359">
                  <c:v>42165</c:v>
                </c:pt>
                <c:pt idx="360">
                  <c:v>42166</c:v>
                </c:pt>
                <c:pt idx="361">
                  <c:v>42167</c:v>
                </c:pt>
                <c:pt idx="362">
                  <c:v>42170</c:v>
                </c:pt>
                <c:pt idx="363">
                  <c:v>42171</c:v>
                </c:pt>
                <c:pt idx="364">
                  <c:v>42172</c:v>
                </c:pt>
                <c:pt idx="365">
                  <c:v>42173</c:v>
                </c:pt>
                <c:pt idx="366">
                  <c:v>42174</c:v>
                </c:pt>
                <c:pt idx="367">
                  <c:v>42177</c:v>
                </c:pt>
                <c:pt idx="368">
                  <c:v>42178</c:v>
                </c:pt>
                <c:pt idx="369">
                  <c:v>42179</c:v>
                </c:pt>
                <c:pt idx="370">
                  <c:v>42180</c:v>
                </c:pt>
                <c:pt idx="371">
                  <c:v>42181</c:v>
                </c:pt>
                <c:pt idx="372">
                  <c:v>42184</c:v>
                </c:pt>
                <c:pt idx="373">
                  <c:v>42185</c:v>
                </c:pt>
                <c:pt idx="374">
                  <c:v>42186</c:v>
                </c:pt>
                <c:pt idx="375">
                  <c:v>42187</c:v>
                </c:pt>
                <c:pt idx="376">
                  <c:v>42188</c:v>
                </c:pt>
                <c:pt idx="377">
                  <c:v>42191</c:v>
                </c:pt>
                <c:pt idx="378">
                  <c:v>42192</c:v>
                </c:pt>
                <c:pt idx="379">
                  <c:v>42193</c:v>
                </c:pt>
                <c:pt idx="380">
                  <c:v>42194</c:v>
                </c:pt>
                <c:pt idx="381">
                  <c:v>42195</c:v>
                </c:pt>
                <c:pt idx="382">
                  <c:v>42198</c:v>
                </c:pt>
                <c:pt idx="383">
                  <c:v>42199</c:v>
                </c:pt>
                <c:pt idx="384">
                  <c:v>42200</c:v>
                </c:pt>
                <c:pt idx="385">
                  <c:v>42201</c:v>
                </c:pt>
                <c:pt idx="386">
                  <c:v>42202</c:v>
                </c:pt>
                <c:pt idx="387">
                  <c:v>42205</c:v>
                </c:pt>
                <c:pt idx="388">
                  <c:v>42206</c:v>
                </c:pt>
                <c:pt idx="389">
                  <c:v>42207</c:v>
                </c:pt>
                <c:pt idx="390">
                  <c:v>42208</c:v>
                </c:pt>
                <c:pt idx="391">
                  <c:v>42209</c:v>
                </c:pt>
                <c:pt idx="392">
                  <c:v>42212</c:v>
                </c:pt>
                <c:pt idx="393">
                  <c:v>42213</c:v>
                </c:pt>
                <c:pt idx="394">
                  <c:v>42214</c:v>
                </c:pt>
                <c:pt idx="395">
                  <c:v>42215</c:v>
                </c:pt>
                <c:pt idx="396">
                  <c:v>42216</c:v>
                </c:pt>
                <c:pt idx="397">
                  <c:v>42219</c:v>
                </c:pt>
                <c:pt idx="398">
                  <c:v>42220</c:v>
                </c:pt>
                <c:pt idx="399">
                  <c:v>42221</c:v>
                </c:pt>
                <c:pt idx="400">
                  <c:v>42222</c:v>
                </c:pt>
                <c:pt idx="401">
                  <c:v>42223</c:v>
                </c:pt>
                <c:pt idx="402">
                  <c:v>42226</c:v>
                </c:pt>
                <c:pt idx="403">
                  <c:v>42227</c:v>
                </c:pt>
                <c:pt idx="404">
                  <c:v>42228</c:v>
                </c:pt>
                <c:pt idx="405">
                  <c:v>42229</c:v>
                </c:pt>
                <c:pt idx="406">
                  <c:v>42230</c:v>
                </c:pt>
                <c:pt idx="407">
                  <c:v>42233</c:v>
                </c:pt>
                <c:pt idx="408">
                  <c:v>42234</c:v>
                </c:pt>
                <c:pt idx="409">
                  <c:v>42235</c:v>
                </c:pt>
                <c:pt idx="410">
                  <c:v>42236</c:v>
                </c:pt>
                <c:pt idx="411">
                  <c:v>42237</c:v>
                </c:pt>
                <c:pt idx="412">
                  <c:v>42240</c:v>
                </c:pt>
                <c:pt idx="413">
                  <c:v>42241</c:v>
                </c:pt>
                <c:pt idx="414">
                  <c:v>42242</c:v>
                </c:pt>
                <c:pt idx="415">
                  <c:v>42243</c:v>
                </c:pt>
                <c:pt idx="416">
                  <c:v>42244</c:v>
                </c:pt>
                <c:pt idx="417">
                  <c:v>42247</c:v>
                </c:pt>
                <c:pt idx="418">
                  <c:v>42248</c:v>
                </c:pt>
                <c:pt idx="419">
                  <c:v>42249</c:v>
                </c:pt>
                <c:pt idx="420">
                  <c:v>42250</c:v>
                </c:pt>
                <c:pt idx="421">
                  <c:v>42251</c:v>
                </c:pt>
                <c:pt idx="422">
                  <c:v>42254</c:v>
                </c:pt>
                <c:pt idx="423">
                  <c:v>42255</c:v>
                </c:pt>
                <c:pt idx="424">
                  <c:v>42256</c:v>
                </c:pt>
                <c:pt idx="425">
                  <c:v>42257</c:v>
                </c:pt>
                <c:pt idx="426">
                  <c:v>42258</c:v>
                </c:pt>
                <c:pt idx="427">
                  <c:v>42261</c:v>
                </c:pt>
                <c:pt idx="428">
                  <c:v>42262</c:v>
                </c:pt>
                <c:pt idx="429">
                  <c:v>42264</c:v>
                </c:pt>
                <c:pt idx="430">
                  <c:v>42265</c:v>
                </c:pt>
                <c:pt idx="431">
                  <c:v>42268</c:v>
                </c:pt>
                <c:pt idx="432">
                  <c:v>42269</c:v>
                </c:pt>
                <c:pt idx="433">
                  <c:v>42270</c:v>
                </c:pt>
                <c:pt idx="434">
                  <c:v>42271</c:v>
                </c:pt>
                <c:pt idx="435">
                  <c:v>42272</c:v>
                </c:pt>
                <c:pt idx="436">
                  <c:v>42275</c:v>
                </c:pt>
                <c:pt idx="437">
                  <c:v>42276</c:v>
                </c:pt>
                <c:pt idx="438">
                  <c:v>42277</c:v>
                </c:pt>
                <c:pt idx="439">
                  <c:v>42278</c:v>
                </c:pt>
                <c:pt idx="440">
                  <c:v>42279</c:v>
                </c:pt>
                <c:pt idx="441">
                  <c:v>42282</c:v>
                </c:pt>
                <c:pt idx="442">
                  <c:v>42283</c:v>
                </c:pt>
                <c:pt idx="443">
                  <c:v>42284</c:v>
                </c:pt>
                <c:pt idx="444">
                  <c:v>42285</c:v>
                </c:pt>
                <c:pt idx="445">
                  <c:v>42286</c:v>
                </c:pt>
                <c:pt idx="446">
                  <c:v>42289</c:v>
                </c:pt>
                <c:pt idx="447">
                  <c:v>42290</c:v>
                </c:pt>
                <c:pt idx="448">
                  <c:v>42291</c:v>
                </c:pt>
                <c:pt idx="449">
                  <c:v>42292</c:v>
                </c:pt>
                <c:pt idx="450">
                  <c:v>42293</c:v>
                </c:pt>
                <c:pt idx="451">
                  <c:v>42296</c:v>
                </c:pt>
                <c:pt idx="452">
                  <c:v>42297</c:v>
                </c:pt>
                <c:pt idx="453">
                  <c:v>42298</c:v>
                </c:pt>
                <c:pt idx="454">
                  <c:v>42299</c:v>
                </c:pt>
                <c:pt idx="455">
                  <c:v>42300</c:v>
                </c:pt>
                <c:pt idx="456">
                  <c:v>42303</c:v>
                </c:pt>
                <c:pt idx="457">
                  <c:v>42304</c:v>
                </c:pt>
                <c:pt idx="458">
                  <c:v>42305</c:v>
                </c:pt>
                <c:pt idx="459">
                  <c:v>42306</c:v>
                </c:pt>
                <c:pt idx="460">
                  <c:v>42307</c:v>
                </c:pt>
                <c:pt idx="461">
                  <c:v>42311</c:v>
                </c:pt>
                <c:pt idx="462">
                  <c:v>42312</c:v>
                </c:pt>
                <c:pt idx="463">
                  <c:v>42313</c:v>
                </c:pt>
                <c:pt idx="464">
                  <c:v>42314</c:v>
                </c:pt>
                <c:pt idx="465">
                  <c:v>42317</c:v>
                </c:pt>
                <c:pt idx="466">
                  <c:v>42318</c:v>
                </c:pt>
                <c:pt idx="467">
                  <c:v>42319</c:v>
                </c:pt>
                <c:pt idx="468">
                  <c:v>42320</c:v>
                </c:pt>
                <c:pt idx="469">
                  <c:v>42321</c:v>
                </c:pt>
                <c:pt idx="470">
                  <c:v>42325</c:v>
                </c:pt>
                <c:pt idx="471">
                  <c:v>42326</c:v>
                </c:pt>
                <c:pt idx="472">
                  <c:v>42327</c:v>
                </c:pt>
                <c:pt idx="473">
                  <c:v>42328</c:v>
                </c:pt>
                <c:pt idx="474">
                  <c:v>42331</c:v>
                </c:pt>
                <c:pt idx="475">
                  <c:v>42332</c:v>
                </c:pt>
                <c:pt idx="476">
                  <c:v>42333</c:v>
                </c:pt>
                <c:pt idx="477">
                  <c:v>42334</c:v>
                </c:pt>
                <c:pt idx="478">
                  <c:v>42335</c:v>
                </c:pt>
                <c:pt idx="479">
                  <c:v>42338</c:v>
                </c:pt>
                <c:pt idx="480">
                  <c:v>42339</c:v>
                </c:pt>
                <c:pt idx="481">
                  <c:v>42340</c:v>
                </c:pt>
                <c:pt idx="482">
                  <c:v>42341</c:v>
                </c:pt>
                <c:pt idx="483">
                  <c:v>42342</c:v>
                </c:pt>
                <c:pt idx="484">
                  <c:v>42345</c:v>
                </c:pt>
                <c:pt idx="485">
                  <c:v>42346</c:v>
                </c:pt>
                <c:pt idx="486">
                  <c:v>42347</c:v>
                </c:pt>
                <c:pt idx="487">
                  <c:v>42348</c:v>
                </c:pt>
                <c:pt idx="488">
                  <c:v>42349</c:v>
                </c:pt>
                <c:pt idx="489">
                  <c:v>42352</c:v>
                </c:pt>
                <c:pt idx="490">
                  <c:v>42353</c:v>
                </c:pt>
                <c:pt idx="491">
                  <c:v>42354</c:v>
                </c:pt>
                <c:pt idx="492">
                  <c:v>42355</c:v>
                </c:pt>
                <c:pt idx="493">
                  <c:v>42356</c:v>
                </c:pt>
                <c:pt idx="494">
                  <c:v>42359</c:v>
                </c:pt>
                <c:pt idx="495">
                  <c:v>42360</c:v>
                </c:pt>
                <c:pt idx="496">
                  <c:v>42361</c:v>
                </c:pt>
                <c:pt idx="497">
                  <c:v>42362</c:v>
                </c:pt>
                <c:pt idx="498">
                  <c:v>42366</c:v>
                </c:pt>
                <c:pt idx="499">
                  <c:v>42367</c:v>
                </c:pt>
                <c:pt idx="500">
                  <c:v>42368</c:v>
                </c:pt>
                <c:pt idx="501">
                  <c:v>42369</c:v>
                </c:pt>
                <c:pt idx="502">
                  <c:v>42373</c:v>
                </c:pt>
                <c:pt idx="503">
                  <c:v>42374</c:v>
                </c:pt>
                <c:pt idx="504">
                  <c:v>42375</c:v>
                </c:pt>
                <c:pt idx="505">
                  <c:v>42376</c:v>
                </c:pt>
                <c:pt idx="506">
                  <c:v>42377</c:v>
                </c:pt>
                <c:pt idx="507">
                  <c:v>42380</c:v>
                </c:pt>
                <c:pt idx="508">
                  <c:v>42381</c:v>
                </c:pt>
                <c:pt idx="509">
                  <c:v>42382</c:v>
                </c:pt>
                <c:pt idx="510">
                  <c:v>42383</c:v>
                </c:pt>
                <c:pt idx="511">
                  <c:v>42384</c:v>
                </c:pt>
                <c:pt idx="512">
                  <c:v>42387</c:v>
                </c:pt>
                <c:pt idx="513">
                  <c:v>42388</c:v>
                </c:pt>
                <c:pt idx="514">
                  <c:v>42389</c:v>
                </c:pt>
                <c:pt idx="515">
                  <c:v>42390</c:v>
                </c:pt>
                <c:pt idx="516">
                  <c:v>42391</c:v>
                </c:pt>
                <c:pt idx="517">
                  <c:v>42394</c:v>
                </c:pt>
                <c:pt idx="518">
                  <c:v>42395</c:v>
                </c:pt>
                <c:pt idx="519">
                  <c:v>42396</c:v>
                </c:pt>
                <c:pt idx="520">
                  <c:v>42397</c:v>
                </c:pt>
                <c:pt idx="521">
                  <c:v>42398</c:v>
                </c:pt>
                <c:pt idx="522">
                  <c:v>42402</c:v>
                </c:pt>
                <c:pt idx="523">
                  <c:v>42403</c:v>
                </c:pt>
                <c:pt idx="524">
                  <c:v>42404</c:v>
                </c:pt>
                <c:pt idx="525">
                  <c:v>42405</c:v>
                </c:pt>
                <c:pt idx="526">
                  <c:v>42408</c:v>
                </c:pt>
                <c:pt idx="527">
                  <c:v>42409</c:v>
                </c:pt>
                <c:pt idx="528">
                  <c:v>42410</c:v>
                </c:pt>
                <c:pt idx="529">
                  <c:v>42411</c:v>
                </c:pt>
                <c:pt idx="530">
                  <c:v>42412</c:v>
                </c:pt>
                <c:pt idx="531">
                  <c:v>42415</c:v>
                </c:pt>
                <c:pt idx="532">
                  <c:v>42416</c:v>
                </c:pt>
                <c:pt idx="533">
                  <c:v>42417</c:v>
                </c:pt>
                <c:pt idx="534">
                  <c:v>42418</c:v>
                </c:pt>
                <c:pt idx="535">
                  <c:v>42419</c:v>
                </c:pt>
                <c:pt idx="536">
                  <c:v>42422</c:v>
                </c:pt>
                <c:pt idx="537">
                  <c:v>42423</c:v>
                </c:pt>
                <c:pt idx="538">
                  <c:v>42424</c:v>
                </c:pt>
                <c:pt idx="539">
                  <c:v>42425</c:v>
                </c:pt>
                <c:pt idx="540">
                  <c:v>42426</c:v>
                </c:pt>
                <c:pt idx="541">
                  <c:v>42429</c:v>
                </c:pt>
                <c:pt idx="542">
                  <c:v>42430</c:v>
                </c:pt>
                <c:pt idx="543">
                  <c:v>42431</c:v>
                </c:pt>
                <c:pt idx="544">
                  <c:v>42432</c:v>
                </c:pt>
                <c:pt idx="545">
                  <c:v>42433</c:v>
                </c:pt>
                <c:pt idx="546">
                  <c:v>42436</c:v>
                </c:pt>
                <c:pt idx="547">
                  <c:v>42437</c:v>
                </c:pt>
                <c:pt idx="548">
                  <c:v>42438</c:v>
                </c:pt>
                <c:pt idx="549">
                  <c:v>42439</c:v>
                </c:pt>
                <c:pt idx="550">
                  <c:v>42440</c:v>
                </c:pt>
                <c:pt idx="551">
                  <c:v>42443</c:v>
                </c:pt>
                <c:pt idx="552">
                  <c:v>42444</c:v>
                </c:pt>
                <c:pt idx="553">
                  <c:v>42445</c:v>
                </c:pt>
                <c:pt idx="554">
                  <c:v>42446</c:v>
                </c:pt>
                <c:pt idx="555">
                  <c:v>42447</c:v>
                </c:pt>
                <c:pt idx="556">
                  <c:v>42451</c:v>
                </c:pt>
                <c:pt idx="557">
                  <c:v>42452</c:v>
                </c:pt>
                <c:pt idx="558">
                  <c:v>42457</c:v>
                </c:pt>
                <c:pt idx="559">
                  <c:v>42458</c:v>
                </c:pt>
                <c:pt idx="560">
                  <c:v>42459</c:v>
                </c:pt>
                <c:pt idx="561">
                  <c:v>42460</c:v>
                </c:pt>
                <c:pt idx="562">
                  <c:v>42461</c:v>
                </c:pt>
                <c:pt idx="563">
                  <c:v>42464</c:v>
                </c:pt>
                <c:pt idx="564">
                  <c:v>42465</c:v>
                </c:pt>
                <c:pt idx="565">
                  <c:v>42466</c:v>
                </c:pt>
                <c:pt idx="566">
                  <c:v>42467</c:v>
                </c:pt>
                <c:pt idx="567">
                  <c:v>42468</c:v>
                </c:pt>
                <c:pt idx="568">
                  <c:v>42471</c:v>
                </c:pt>
                <c:pt idx="569">
                  <c:v>42472</c:v>
                </c:pt>
                <c:pt idx="570">
                  <c:v>42473</c:v>
                </c:pt>
                <c:pt idx="571">
                  <c:v>42474</c:v>
                </c:pt>
                <c:pt idx="572">
                  <c:v>42475</c:v>
                </c:pt>
                <c:pt idx="573">
                  <c:v>42478</c:v>
                </c:pt>
                <c:pt idx="574">
                  <c:v>42479</c:v>
                </c:pt>
                <c:pt idx="575">
                  <c:v>42480</c:v>
                </c:pt>
                <c:pt idx="576">
                  <c:v>42481</c:v>
                </c:pt>
                <c:pt idx="577">
                  <c:v>42482</c:v>
                </c:pt>
                <c:pt idx="578">
                  <c:v>42485</c:v>
                </c:pt>
                <c:pt idx="579">
                  <c:v>42486</c:v>
                </c:pt>
                <c:pt idx="580">
                  <c:v>42487</c:v>
                </c:pt>
                <c:pt idx="581">
                  <c:v>42488</c:v>
                </c:pt>
                <c:pt idx="582">
                  <c:v>42489</c:v>
                </c:pt>
                <c:pt idx="583">
                  <c:v>42492</c:v>
                </c:pt>
                <c:pt idx="584">
                  <c:v>42493</c:v>
                </c:pt>
                <c:pt idx="585">
                  <c:v>42494</c:v>
                </c:pt>
                <c:pt idx="586">
                  <c:v>42495</c:v>
                </c:pt>
                <c:pt idx="587">
                  <c:v>42496</c:v>
                </c:pt>
                <c:pt idx="588">
                  <c:v>42499</c:v>
                </c:pt>
                <c:pt idx="589">
                  <c:v>42500</c:v>
                </c:pt>
                <c:pt idx="590">
                  <c:v>42501</c:v>
                </c:pt>
                <c:pt idx="591">
                  <c:v>42502</c:v>
                </c:pt>
                <c:pt idx="592">
                  <c:v>42503</c:v>
                </c:pt>
                <c:pt idx="593">
                  <c:v>42506</c:v>
                </c:pt>
                <c:pt idx="594">
                  <c:v>42507</c:v>
                </c:pt>
                <c:pt idx="595">
                  <c:v>42508</c:v>
                </c:pt>
                <c:pt idx="596">
                  <c:v>42509</c:v>
                </c:pt>
                <c:pt idx="597">
                  <c:v>42510</c:v>
                </c:pt>
                <c:pt idx="598">
                  <c:v>42513</c:v>
                </c:pt>
                <c:pt idx="599">
                  <c:v>42514</c:v>
                </c:pt>
                <c:pt idx="600">
                  <c:v>42515</c:v>
                </c:pt>
                <c:pt idx="601">
                  <c:v>42516</c:v>
                </c:pt>
                <c:pt idx="602">
                  <c:v>42517</c:v>
                </c:pt>
                <c:pt idx="603">
                  <c:v>42520</c:v>
                </c:pt>
                <c:pt idx="604">
                  <c:v>42521</c:v>
                </c:pt>
                <c:pt idx="605">
                  <c:v>42522</c:v>
                </c:pt>
                <c:pt idx="606">
                  <c:v>42523</c:v>
                </c:pt>
                <c:pt idx="607">
                  <c:v>42524</c:v>
                </c:pt>
                <c:pt idx="608">
                  <c:v>42527</c:v>
                </c:pt>
                <c:pt idx="609">
                  <c:v>42528</c:v>
                </c:pt>
                <c:pt idx="610">
                  <c:v>42529</c:v>
                </c:pt>
                <c:pt idx="611">
                  <c:v>42530</c:v>
                </c:pt>
                <c:pt idx="612">
                  <c:v>42531</c:v>
                </c:pt>
                <c:pt idx="613">
                  <c:v>42534</c:v>
                </c:pt>
                <c:pt idx="614">
                  <c:v>42535</c:v>
                </c:pt>
                <c:pt idx="615">
                  <c:v>42536</c:v>
                </c:pt>
                <c:pt idx="616">
                  <c:v>42537</c:v>
                </c:pt>
                <c:pt idx="617">
                  <c:v>42538</c:v>
                </c:pt>
                <c:pt idx="618">
                  <c:v>42541</c:v>
                </c:pt>
                <c:pt idx="619">
                  <c:v>42542</c:v>
                </c:pt>
                <c:pt idx="620">
                  <c:v>42543</c:v>
                </c:pt>
                <c:pt idx="621">
                  <c:v>42544</c:v>
                </c:pt>
                <c:pt idx="622">
                  <c:v>42545</c:v>
                </c:pt>
                <c:pt idx="623">
                  <c:v>42548</c:v>
                </c:pt>
                <c:pt idx="624">
                  <c:v>42549</c:v>
                </c:pt>
                <c:pt idx="625">
                  <c:v>42550</c:v>
                </c:pt>
                <c:pt idx="626">
                  <c:v>42551</c:v>
                </c:pt>
                <c:pt idx="627">
                  <c:v>42552</c:v>
                </c:pt>
                <c:pt idx="628">
                  <c:v>42555</c:v>
                </c:pt>
                <c:pt idx="629">
                  <c:v>42556</c:v>
                </c:pt>
                <c:pt idx="630">
                  <c:v>42557</c:v>
                </c:pt>
                <c:pt idx="631">
                  <c:v>42558</c:v>
                </c:pt>
                <c:pt idx="632">
                  <c:v>42559</c:v>
                </c:pt>
                <c:pt idx="633">
                  <c:v>42562</c:v>
                </c:pt>
                <c:pt idx="634">
                  <c:v>42563</c:v>
                </c:pt>
                <c:pt idx="635">
                  <c:v>42564</c:v>
                </c:pt>
                <c:pt idx="636">
                  <c:v>42565</c:v>
                </c:pt>
                <c:pt idx="637">
                  <c:v>42566</c:v>
                </c:pt>
                <c:pt idx="638">
                  <c:v>42569</c:v>
                </c:pt>
                <c:pt idx="639">
                  <c:v>42570</c:v>
                </c:pt>
                <c:pt idx="640">
                  <c:v>42571</c:v>
                </c:pt>
                <c:pt idx="641">
                  <c:v>42572</c:v>
                </c:pt>
                <c:pt idx="642">
                  <c:v>42573</c:v>
                </c:pt>
                <c:pt idx="643">
                  <c:v>42576</c:v>
                </c:pt>
                <c:pt idx="644">
                  <c:v>42577</c:v>
                </c:pt>
                <c:pt idx="645">
                  <c:v>42578</c:v>
                </c:pt>
                <c:pt idx="646">
                  <c:v>42579</c:v>
                </c:pt>
                <c:pt idx="647">
                  <c:v>42580</c:v>
                </c:pt>
                <c:pt idx="648">
                  <c:v>42583</c:v>
                </c:pt>
                <c:pt idx="649">
                  <c:v>42584</c:v>
                </c:pt>
                <c:pt idx="650">
                  <c:v>42585</c:v>
                </c:pt>
                <c:pt idx="651">
                  <c:v>42586</c:v>
                </c:pt>
                <c:pt idx="652">
                  <c:v>42587</c:v>
                </c:pt>
                <c:pt idx="653">
                  <c:v>42590</c:v>
                </c:pt>
                <c:pt idx="654">
                  <c:v>42591</c:v>
                </c:pt>
                <c:pt idx="655">
                  <c:v>42592</c:v>
                </c:pt>
                <c:pt idx="656">
                  <c:v>42593</c:v>
                </c:pt>
                <c:pt idx="657">
                  <c:v>42594</c:v>
                </c:pt>
                <c:pt idx="658">
                  <c:v>42597</c:v>
                </c:pt>
                <c:pt idx="659">
                  <c:v>42598</c:v>
                </c:pt>
                <c:pt idx="660">
                  <c:v>42599</c:v>
                </c:pt>
                <c:pt idx="661">
                  <c:v>42600</c:v>
                </c:pt>
                <c:pt idx="662">
                  <c:v>42601</c:v>
                </c:pt>
                <c:pt idx="663">
                  <c:v>42604</c:v>
                </c:pt>
                <c:pt idx="664">
                  <c:v>42605</c:v>
                </c:pt>
                <c:pt idx="665">
                  <c:v>42606</c:v>
                </c:pt>
                <c:pt idx="666">
                  <c:v>42607</c:v>
                </c:pt>
                <c:pt idx="667">
                  <c:v>42608</c:v>
                </c:pt>
                <c:pt idx="668">
                  <c:v>42611</c:v>
                </c:pt>
                <c:pt idx="669">
                  <c:v>42612</c:v>
                </c:pt>
                <c:pt idx="670">
                  <c:v>42613</c:v>
                </c:pt>
                <c:pt idx="671">
                  <c:v>42614</c:v>
                </c:pt>
                <c:pt idx="672">
                  <c:v>42615</c:v>
                </c:pt>
                <c:pt idx="673">
                  <c:v>42618</c:v>
                </c:pt>
                <c:pt idx="674">
                  <c:v>42619</c:v>
                </c:pt>
                <c:pt idx="675">
                  <c:v>42620</c:v>
                </c:pt>
                <c:pt idx="676">
                  <c:v>42621</c:v>
                </c:pt>
                <c:pt idx="677">
                  <c:v>42622</c:v>
                </c:pt>
                <c:pt idx="678">
                  <c:v>42625</c:v>
                </c:pt>
                <c:pt idx="679">
                  <c:v>42626</c:v>
                </c:pt>
                <c:pt idx="680">
                  <c:v>42627</c:v>
                </c:pt>
                <c:pt idx="681">
                  <c:v>42628</c:v>
                </c:pt>
                <c:pt idx="682">
                  <c:v>42632</c:v>
                </c:pt>
                <c:pt idx="683">
                  <c:v>42633</c:v>
                </c:pt>
                <c:pt idx="684">
                  <c:v>42634</c:v>
                </c:pt>
                <c:pt idx="685">
                  <c:v>42635</c:v>
                </c:pt>
                <c:pt idx="686">
                  <c:v>42636</c:v>
                </c:pt>
                <c:pt idx="687">
                  <c:v>42639</c:v>
                </c:pt>
                <c:pt idx="688">
                  <c:v>42640</c:v>
                </c:pt>
                <c:pt idx="689">
                  <c:v>42641</c:v>
                </c:pt>
                <c:pt idx="690">
                  <c:v>42642</c:v>
                </c:pt>
                <c:pt idx="691">
                  <c:v>42643</c:v>
                </c:pt>
                <c:pt idx="692">
                  <c:v>42646</c:v>
                </c:pt>
                <c:pt idx="693">
                  <c:v>42647</c:v>
                </c:pt>
                <c:pt idx="694">
                  <c:v>42648</c:v>
                </c:pt>
                <c:pt idx="695">
                  <c:v>42649</c:v>
                </c:pt>
                <c:pt idx="696">
                  <c:v>42650</c:v>
                </c:pt>
                <c:pt idx="697">
                  <c:v>42653</c:v>
                </c:pt>
                <c:pt idx="698">
                  <c:v>42654</c:v>
                </c:pt>
                <c:pt idx="699">
                  <c:v>42655</c:v>
                </c:pt>
                <c:pt idx="700">
                  <c:v>42656</c:v>
                </c:pt>
                <c:pt idx="701">
                  <c:v>42657</c:v>
                </c:pt>
                <c:pt idx="702">
                  <c:v>42660</c:v>
                </c:pt>
                <c:pt idx="703">
                  <c:v>42661</c:v>
                </c:pt>
                <c:pt idx="704">
                  <c:v>42662</c:v>
                </c:pt>
                <c:pt idx="705">
                  <c:v>42663</c:v>
                </c:pt>
                <c:pt idx="706">
                  <c:v>42664</c:v>
                </c:pt>
                <c:pt idx="707">
                  <c:v>42667</c:v>
                </c:pt>
                <c:pt idx="708">
                  <c:v>42668</c:v>
                </c:pt>
                <c:pt idx="709">
                  <c:v>42669</c:v>
                </c:pt>
                <c:pt idx="710">
                  <c:v>42670</c:v>
                </c:pt>
                <c:pt idx="711">
                  <c:v>42671</c:v>
                </c:pt>
                <c:pt idx="712">
                  <c:v>42674</c:v>
                </c:pt>
                <c:pt idx="713">
                  <c:v>42675</c:v>
                </c:pt>
                <c:pt idx="714">
                  <c:v>42677</c:v>
                </c:pt>
                <c:pt idx="715">
                  <c:v>42678</c:v>
                </c:pt>
                <c:pt idx="716">
                  <c:v>42681</c:v>
                </c:pt>
                <c:pt idx="717">
                  <c:v>42682</c:v>
                </c:pt>
                <c:pt idx="718">
                  <c:v>42683</c:v>
                </c:pt>
                <c:pt idx="719">
                  <c:v>42684</c:v>
                </c:pt>
                <c:pt idx="720">
                  <c:v>42685</c:v>
                </c:pt>
                <c:pt idx="721">
                  <c:v>42688</c:v>
                </c:pt>
                <c:pt idx="722">
                  <c:v>42689</c:v>
                </c:pt>
                <c:pt idx="723">
                  <c:v>42690</c:v>
                </c:pt>
                <c:pt idx="724">
                  <c:v>42691</c:v>
                </c:pt>
                <c:pt idx="725">
                  <c:v>42692</c:v>
                </c:pt>
                <c:pt idx="726">
                  <c:v>42696</c:v>
                </c:pt>
                <c:pt idx="727">
                  <c:v>42697</c:v>
                </c:pt>
                <c:pt idx="728">
                  <c:v>42698</c:v>
                </c:pt>
                <c:pt idx="729">
                  <c:v>42699</c:v>
                </c:pt>
                <c:pt idx="730">
                  <c:v>42702</c:v>
                </c:pt>
                <c:pt idx="731">
                  <c:v>42703</c:v>
                </c:pt>
                <c:pt idx="732">
                  <c:v>42704</c:v>
                </c:pt>
                <c:pt idx="733">
                  <c:v>42705</c:v>
                </c:pt>
                <c:pt idx="734">
                  <c:v>42706</c:v>
                </c:pt>
                <c:pt idx="735">
                  <c:v>42709</c:v>
                </c:pt>
                <c:pt idx="736">
                  <c:v>42710</c:v>
                </c:pt>
                <c:pt idx="737">
                  <c:v>42711</c:v>
                </c:pt>
                <c:pt idx="738">
                  <c:v>42712</c:v>
                </c:pt>
                <c:pt idx="739">
                  <c:v>42713</c:v>
                </c:pt>
                <c:pt idx="740">
                  <c:v>42717</c:v>
                </c:pt>
                <c:pt idx="741">
                  <c:v>42718</c:v>
                </c:pt>
                <c:pt idx="742">
                  <c:v>42719</c:v>
                </c:pt>
                <c:pt idx="743">
                  <c:v>42720</c:v>
                </c:pt>
                <c:pt idx="744">
                  <c:v>42723</c:v>
                </c:pt>
                <c:pt idx="745">
                  <c:v>42724</c:v>
                </c:pt>
                <c:pt idx="746">
                  <c:v>42725</c:v>
                </c:pt>
                <c:pt idx="747">
                  <c:v>42726</c:v>
                </c:pt>
                <c:pt idx="748">
                  <c:v>42727</c:v>
                </c:pt>
                <c:pt idx="749">
                  <c:v>42730</c:v>
                </c:pt>
                <c:pt idx="750">
                  <c:v>42731</c:v>
                </c:pt>
                <c:pt idx="751">
                  <c:v>42732</c:v>
                </c:pt>
                <c:pt idx="752">
                  <c:v>42733</c:v>
                </c:pt>
                <c:pt idx="753">
                  <c:v>42734</c:v>
                </c:pt>
                <c:pt idx="754">
                  <c:v>42737</c:v>
                </c:pt>
                <c:pt idx="755">
                  <c:v>42738</c:v>
                </c:pt>
                <c:pt idx="756">
                  <c:v>42739</c:v>
                </c:pt>
                <c:pt idx="757">
                  <c:v>42740</c:v>
                </c:pt>
                <c:pt idx="758">
                  <c:v>42741</c:v>
                </c:pt>
                <c:pt idx="759">
                  <c:v>42744</c:v>
                </c:pt>
                <c:pt idx="760">
                  <c:v>42745</c:v>
                </c:pt>
                <c:pt idx="761">
                  <c:v>42746</c:v>
                </c:pt>
                <c:pt idx="762">
                  <c:v>42747</c:v>
                </c:pt>
                <c:pt idx="763">
                  <c:v>42748</c:v>
                </c:pt>
                <c:pt idx="764">
                  <c:v>42751</c:v>
                </c:pt>
                <c:pt idx="765">
                  <c:v>42752</c:v>
                </c:pt>
                <c:pt idx="766">
                  <c:v>42753</c:v>
                </c:pt>
                <c:pt idx="767">
                  <c:v>42754</c:v>
                </c:pt>
                <c:pt idx="768">
                  <c:v>42755</c:v>
                </c:pt>
                <c:pt idx="769">
                  <c:v>42758</c:v>
                </c:pt>
                <c:pt idx="770">
                  <c:v>42759</c:v>
                </c:pt>
                <c:pt idx="771">
                  <c:v>42760</c:v>
                </c:pt>
                <c:pt idx="772">
                  <c:v>42761</c:v>
                </c:pt>
                <c:pt idx="773">
                  <c:v>42762</c:v>
                </c:pt>
                <c:pt idx="774">
                  <c:v>42765</c:v>
                </c:pt>
                <c:pt idx="775">
                  <c:v>42766</c:v>
                </c:pt>
                <c:pt idx="776">
                  <c:v>42767</c:v>
                </c:pt>
                <c:pt idx="777">
                  <c:v>42768</c:v>
                </c:pt>
                <c:pt idx="778">
                  <c:v>42769</c:v>
                </c:pt>
                <c:pt idx="779">
                  <c:v>42773</c:v>
                </c:pt>
                <c:pt idx="780">
                  <c:v>42774</c:v>
                </c:pt>
                <c:pt idx="781">
                  <c:v>42775</c:v>
                </c:pt>
                <c:pt idx="782">
                  <c:v>42776</c:v>
                </c:pt>
                <c:pt idx="783">
                  <c:v>42779</c:v>
                </c:pt>
                <c:pt idx="784">
                  <c:v>42780</c:v>
                </c:pt>
                <c:pt idx="785">
                  <c:v>42781</c:v>
                </c:pt>
                <c:pt idx="786">
                  <c:v>42782</c:v>
                </c:pt>
                <c:pt idx="787">
                  <c:v>42783</c:v>
                </c:pt>
                <c:pt idx="788">
                  <c:v>42786</c:v>
                </c:pt>
                <c:pt idx="789">
                  <c:v>42787</c:v>
                </c:pt>
                <c:pt idx="790">
                  <c:v>42788</c:v>
                </c:pt>
                <c:pt idx="791">
                  <c:v>42789</c:v>
                </c:pt>
                <c:pt idx="792">
                  <c:v>42790</c:v>
                </c:pt>
                <c:pt idx="793">
                  <c:v>42793</c:v>
                </c:pt>
                <c:pt idx="794">
                  <c:v>42794</c:v>
                </c:pt>
                <c:pt idx="795">
                  <c:v>42795</c:v>
                </c:pt>
                <c:pt idx="796">
                  <c:v>42796</c:v>
                </c:pt>
                <c:pt idx="797">
                  <c:v>42797</c:v>
                </c:pt>
                <c:pt idx="798">
                  <c:v>42800</c:v>
                </c:pt>
                <c:pt idx="799">
                  <c:v>42801</c:v>
                </c:pt>
                <c:pt idx="800">
                  <c:v>42802</c:v>
                </c:pt>
                <c:pt idx="801">
                  <c:v>42803</c:v>
                </c:pt>
                <c:pt idx="802">
                  <c:v>42804</c:v>
                </c:pt>
                <c:pt idx="803">
                  <c:v>42807</c:v>
                </c:pt>
                <c:pt idx="804">
                  <c:v>42808</c:v>
                </c:pt>
                <c:pt idx="805">
                  <c:v>42809</c:v>
                </c:pt>
                <c:pt idx="806">
                  <c:v>42810</c:v>
                </c:pt>
                <c:pt idx="807">
                  <c:v>42811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42821</c:v>
                </c:pt>
                <c:pt idx="813">
                  <c:v>42822</c:v>
                </c:pt>
                <c:pt idx="814">
                  <c:v>42823</c:v>
                </c:pt>
                <c:pt idx="815">
                  <c:v>42824</c:v>
                </c:pt>
                <c:pt idx="816">
                  <c:v>42825</c:v>
                </c:pt>
                <c:pt idx="817">
                  <c:v>42828</c:v>
                </c:pt>
                <c:pt idx="818">
                  <c:v>42829</c:v>
                </c:pt>
                <c:pt idx="819">
                  <c:v>42830</c:v>
                </c:pt>
                <c:pt idx="820">
                  <c:v>42831</c:v>
                </c:pt>
                <c:pt idx="821">
                  <c:v>42832</c:v>
                </c:pt>
                <c:pt idx="822">
                  <c:v>42835</c:v>
                </c:pt>
                <c:pt idx="823">
                  <c:v>42836</c:v>
                </c:pt>
                <c:pt idx="824">
                  <c:v>42837</c:v>
                </c:pt>
                <c:pt idx="825">
                  <c:v>42842</c:v>
                </c:pt>
                <c:pt idx="826">
                  <c:v>42843</c:v>
                </c:pt>
                <c:pt idx="827">
                  <c:v>42844</c:v>
                </c:pt>
                <c:pt idx="828">
                  <c:v>42845</c:v>
                </c:pt>
                <c:pt idx="829">
                  <c:v>42846</c:v>
                </c:pt>
                <c:pt idx="830">
                  <c:v>42849</c:v>
                </c:pt>
                <c:pt idx="831">
                  <c:v>42850</c:v>
                </c:pt>
                <c:pt idx="832">
                  <c:v>42851</c:v>
                </c:pt>
                <c:pt idx="833">
                  <c:v>42852</c:v>
                </c:pt>
                <c:pt idx="834">
                  <c:v>42853</c:v>
                </c:pt>
                <c:pt idx="835">
                  <c:v>42857</c:v>
                </c:pt>
                <c:pt idx="836">
                  <c:v>42858</c:v>
                </c:pt>
                <c:pt idx="837">
                  <c:v>42859</c:v>
                </c:pt>
                <c:pt idx="838">
                  <c:v>42860</c:v>
                </c:pt>
                <c:pt idx="839">
                  <c:v>42863</c:v>
                </c:pt>
                <c:pt idx="840">
                  <c:v>42864</c:v>
                </c:pt>
                <c:pt idx="841">
                  <c:v>42865</c:v>
                </c:pt>
                <c:pt idx="842">
                  <c:v>42866</c:v>
                </c:pt>
                <c:pt idx="843">
                  <c:v>42867</c:v>
                </c:pt>
                <c:pt idx="844">
                  <c:v>42870</c:v>
                </c:pt>
                <c:pt idx="845">
                  <c:v>42871</c:v>
                </c:pt>
                <c:pt idx="846">
                  <c:v>42872</c:v>
                </c:pt>
                <c:pt idx="847">
                  <c:v>42873</c:v>
                </c:pt>
                <c:pt idx="848">
                  <c:v>42874</c:v>
                </c:pt>
                <c:pt idx="849">
                  <c:v>42877</c:v>
                </c:pt>
                <c:pt idx="850">
                  <c:v>42878</c:v>
                </c:pt>
                <c:pt idx="851">
                  <c:v>42879</c:v>
                </c:pt>
                <c:pt idx="852">
                  <c:v>42880</c:v>
                </c:pt>
                <c:pt idx="853">
                  <c:v>42881</c:v>
                </c:pt>
                <c:pt idx="854">
                  <c:v>42884</c:v>
                </c:pt>
                <c:pt idx="855">
                  <c:v>42885</c:v>
                </c:pt>
                <c:pt idx="856">
                  <c:v>42886</c:v>
                </c:pt>
                <c:pt idx="857">
                  <c:v>42887</c:v>
                </c:pt>
                <c:pt idx="858">
                  <c:v>42888</c:v>
                </c:pt>
                <c:pt idx="859">
                  <c:v>42891</c:v>
                </c:pt>
                <c:pt idx="860">
                  <c:v>42892</c:v>
                </c:pt>
                <c:pt idx="861">
                  <c:v>42893</c:v>
                </c:pt>
                <c:pt idx="862">
                  <c:v>42894</c:v>
                </c:pt>
                <c:pt idx="863">
                  <c:v>42895</c:v>
                </c:pt>
                <c:pt idx="864">
                  <c:v>42898</c:v>
                </c:pt>
                <c:pt idx="865">
                  <c:v>42899</c:v>
                </c:pt>
                <c:pt idx="866">
                  <c:v>42900</c:v>
                </c:pt>
                <c:pt idx="867">
                  <c:v>42901</c:v>
                </c:pt>
                <c:pt idx="868">
                  <c:v>42902</c:v>
                </c:pt>
                <c:pt idx="869">
                  <c:v>42905</c:v>
                </c:pt>
                <c:pt idx="870">
                  <c:v>42906</c:v>
                </c:pt>
                <c:pt idx="871">
                  <c:v>42907</c:v>
                </c:pt>
                <c:pt idx="872">
                  <c:v>42908</c:v>
                </c:pt>
                <c:pt idx="873">
                  <c:v>42909</c:v>
                </c:pt>
                <c:pt idx="874">
                  <c:v>42912</c:v>
                </c:pt>
                <c:pt idx="875">
                  <c:v>42913</c:v>
                </c:pt>
                <c:pt idx="876">
                  <c:v>42914</c:v>
                </c:pt>
                <c:pt idx="877">
                  <c:v>42915</c:v>
                </c:pt>
                <c:pt idx="878">
                  <c:v>42916</c:v>
                </c:pt>
                <c:pt idx="879">
                  <c:v>42919</c:v>
                </c:pt>
                <c:pt idx="880">
                  <c:v>42920</c:v>
                </c:pt>
                <c:pt idx="881">
                  <c:v>42921</c:v>
                </c:pt>
                <c:pt idx="882">
                  <c:v>42922</c:v>
                </c:pt>
                <c:pt idx="883">
                  <c:v>42923</c:v>
                </c:pt>
                <c:pt idx="884">
                  <c:v>42926</c:v>
                </c:pt>
                <c:pt idx="885">
                  <c:v>42927</c:v>
                </c:pt>
                <c:pt idx="886">
                  <c:v>42928</c:v>
                </c:pt>
                <c:pt idx="887">
                  <c:v>42929</c:v>
                </c:pt>
                <c:pt idx="888">
                  <c:v>42930</c:v>
                </c:pt>
                <c:pt idx="889">
                  <c:v>42933</c:v>
                </c:pt>
                <c:pt idx="890">
                  <c:v>42934</c:v>
                </c:pt>
                <c:pt idx="891">
                  <c:v>42935</c:v>
                </c:pt>
                <c:pt idx="892">
                  <c:v>42936</c:v>
                </c:pt>
                <c:pt idx="893">
                  <c:v>42937</c:v>
                </c:pt>
                <c:pt idx="894">
                  <c:v>42940</c:v>
                </c:pt>
                <c:pt idx="895">
                  <c:v>42941</c:v>
                </c:pt>
                <c:pt idx="896">
                  <c:v>42942</c:v>
                </c:pt>
                <c:pt idx="897">
                  <c:v>42943</c:v>
                </c:pt>
                <c:pt idx="898">
                  <c:v>42944</c:v>
                </c:pt>
                <c:pt idx="899">
                  <c:v>42947</c:v>
                </c:pt>
                <c:pt idx="900">
                  <c:v>42948</c:v>
                </c:pt>
                <c:pt idx="901">
                  <c:v>42949</c:v>
                </c:pt>
                <c:pt idx="902">
                  <c:v>42950</c:v>
                </c:pt>
                <c:pt idx="903">
                  <c:v>42951</c:v>
                </c:pt>
                <c:pt idx="904">
                  <c:v>42954</c:v>
                </c:pt>
                <c:pt idx="905">
                  <c:v>42955</c:v>
                </c:pt>
                <c:pt idx="906">
                  <c:v>42956</c:v>
                </c:pt>
                <c:pt idx="907">
                  <c:v>42957</c:v>
                </c:pt>
                <c:pt idx="908">
                  <c:v>42958</c:v>
                </c:pt>
                <c:pt idx="909">
                  <c:v>42961</c:v>
                </c:pt>
                <c:pt idx="910">
                  <c:v>42962</c:v>
                </c:pt>
                <c:pt idx="911">
                  <c:v>42963</c:v>
                </c:pt>
                <c:pt idx="912">
                  <c:v>42964</c:v>
                </c:pt>
                <c:pt idx="913">
                  <c:v>42965</c:v>
                </c:pt>
                <c:pt idx="914">
                  <c:v>42968</c:v>
                </c:pt>
                <c:pt idx="915">
                  <c:v>42969</c:v>
                </c:pt>
                <c:pt idx="916">
                  <c:v>42970</c:v>
                </c:pt>
                <c:pt idx="917">
                  <c:v>42971</c:v>
                </c:pt>
                <c:pt idx="918">
                  <c:v>42972</c:v>
                </c:pt>
                <c:pt idx="919">
                  <c:v>42975</c:v>
                </c:pt>
                <c:pt idx="920">
                  <c:v>42976</c:v>
                </c:pt>
                <c:pt idx="921">
                  <c:v>42977</c:v>
                </c:pt>
                <c:pt idx="922">
                  <c:v>42978</c:v>
                </c:pt>
                <c:pt idx="923">
                  <c:v>42979</c:v>
                </c:pt>
                <c:pt idx="924">
                  <c:v>42982</c:v>
                </c:pt>
                <c:pt idx="925">
                  <c:v>42983</c:v>
                </c:pt>
                <c:pt idx="926">
                  <c:v>42984</c:v>
                </c:pt>
                <c:pt idx="927">
                  <c:v>42985</c:v>
                </c:pt>
                <c:pt idx="928">
                  <c:v>42986</c:v>
                </c:pt>
                <c:pt idx="929">
                  <c:v>42989</c:v>
                </c:pt>
                <c:pt idx="930">
                  <c:v>42990</c:v>
                </c:pt>
                <c:pt idx="931">
                  <c:v>42991</c:v>
                </c:pt>
                <c:pt idx="932">
                  <c:v>42992</c:v>
                </c:pt>
                <c:pt idx="933">
                  <c:v>42993</c:v>
                </c:pt>
                <c:pt idx="934">
                  <c:v>42996</c:v>
                </c:pt>
                <c:pt idx="935">
                  <c:v>42997</c:v>
                </c:pt>
                <c:pt idx="936">
                  <c:v>42998</c:v>
                </c:pt>
                <c:pt idx="937">
                  <c:v>42999</c:v>
                </c:pt>
                <c:pt idx="938">
                  <c:v>43000</c:v>
                </c:pt>
                <c:pt idx="939">
                  <c:v>43003</c:v>
                </c:pt>
                <c:pt idx="940">
                  <c:v>43004</c:v>
                </c:pt>
                <c:pt idx="941">
                  <c:v>43005</c:v>
                </c:pt>
                <c:pt idx="942">
                  <c:v>43006</c:v>
                </c:pt>
                <c:pt idx="943">
                  <c:v>43007</c:v>
                </c:pt>
                <c:pt idx="944">
                  <c:v>43010</c:v>
                </c:pt>
                <c:pt idx="945">
                  <c:v>43011</c:v>
                </c:pt>
                <c:pt idx="946">
                  <c:v>43012</c:v>
                </c:pt>
                <c:pt idx="947">
                  <c:v>43013</c:v>
                </c:pt>
                <c:pt idx="948">
                  <c:v>43014</c:v>
                </c:pt>
                <c:pt idx="949">
                  <c:v>43017</c:v>
                </c:pt>
                <c:pt idx="950">
                  <c:v>43018</c:v>
                </c:pt>
                <c:pt idx="951">
                  <c:v>43019</c:v>
                </c:pt>
                <c:pt idx="952">
                  <c:v>43020</c:v>
                </c:pt>
                <c:pt idx="953">
                  <c:v>43021</c:v>
                </c:pt>
                <c:pt idx="954">
                  <c:v>43024</c:v>
                </c:pt>
                <c:pt idx="955">
                  <c:v>43025</c:v>
                </c:pt>
                <c:pt idx="956">
                  <c:v>43026</c:v>
                </c:pt>
                <c:pt idx="957">
                  <c:v>43027</c:v>
                </c:pt>
                <c:pt idx="958">
                  <c:v>43028</c:v>
                </c:pt>
                <c:pt idx="959">
                  <c:v>43031</c:v>
                </c:pt>
                <c:pt idx="960">
                  <c:v>43032</c:v>
                </c:pt>
                <c:pt idx="961">
                  <c:v>43033</c:v>
                </c:pt>
                <c:pt idx="962">
                  <c:v>43034</c:v>
                </c:pt>
                <c:pt idx="963">
                  <c:v>43035</c:v>
                </c:pt>
                <c:pt idx="964">
                  <c:v>43038</c:v>
                </c:pt>
                <c:pt idx="965">
                  <c:v>43039</c:v>
                </c:pt>
                <c:pt idx="966">
                  <c:v>43040</c:v>
                </c:pt>
                <c:pt idx="967">
                  <c:v>43042</c:v>
                </c:pt>
                <c:pt idx="968">
                  <c:v>43045</c:v>
                </c:pt>
                <c:pt idx="969">
                  <c:v>43046</c:v>
                </c:pt>
                <c:pt idx="970">
                  <c:v>43047</c:v>
                </c:pt>
                <c:pt idx="971">
                  <c:v>43048</c:v>
                </c:pt>
                <c:pt idx="972">
                  <c:v>43049</c:v>
                </c:pt>
                <c:pt idx="973">
                  <c:v>43052</c:v>
                </c:pt>
                <c:pt idx="974">
                  <c:v>43053</c:v>
                </c:pt>
                <c:pt idx="975">
                  <c:v>43054</c:v>
                </c:pt>
                <c:pt idx="976">
                  <c:v>43055</c:v>
                </c:pt>
                <c:pt idx="977">
                  <c:v>43056</c:v>
                </c:pt>
                <c:pt idx="978">
                  <c:v>43060</c:v>
                </c:pt>
                <c:pt idx="979">
                  <c:v>43061</c:v>
                </c:pt>
                <c:pt idx="980">
                  <c:v>43062</c:v>
                </c:pt>
                <c:pt idx="981">
                  <c:v>43063</c:v>
                </c:pt>
                <c:pt idx="982">
                  <c:v>43066</c:v>
                </c:pt>
                <c:pt idx="983">
                  <c:v>43067</c:v>
                </c:pt>
                <c:pt idx="984">
                  <c:v>43068</c:v>
                </c:pt>
                <c:pt idx="985">
                  <c:v>43069</c:v>
                </c:pt>
                <c:pt idx="986">
                  <c:v>43070</c:v>
                </c:pt>
                <c:pt idx="987">
                  <c:v>43073</c:v>
                </c:pt>
                <c:pt idx="988">
                  <c:v>43074</c:v>
                </c:pt>
                <c:pt idx="989">
                  <c:v>43075</c:v>
                </c:pt>
                <c:pt idx="990">
                  <c:v>43076</c:v>
                </c:pt>
                <c:pt idx="991">
                  <c:v>43077</c:v>
                </c:pt>
                <c:pt idx="992">
                  <c:v>43080</c:v>
                </c:pt>
                <c:pt idx="993">
                  <c:v>43082</c:v>
                </c:pt>
                <c:pt idx="994">
                  <c:v>43083</c:v>
                </c:pt>
                <c:pt idx="995">
                  <c:v>43084</c:v>
                </c:pt>
                <c:pt idx="996">
                  <c:v>43087</c:v>
                </c:pt>
                <c:pt idx="997">
                  <c:v>43088</c:v>
                </c:pt>
                <c:pt idx="998">
                  <c:v>43089</c:v>
                </c:pt>
                <c:pt idx="999">
                  <c:v>43090</c:v>
                </c:pt>
                <c:pt idx="1000">
                  <c:v>43091</c:v>
                </c:pt>
                <c:pt idx="1001">
                  <c:v>43095</c:v>
                </c:pt>
                <c:pt idx="1002">
                  <c:v>43096</c:v>
                </c:pt>
                <c:pt idx="1003">
                  <c:v>43097</c:v>
                </c:pt>
                <c:pt idx="1004">
                  <c:v>43098</c:v>
                </c:pt>
                <c:pt idx="1005">
                  <c:v>43102</c:v>
                </c:pt>
                <c:pt idx="1006">
                  <c:v>43103</c:v>
                </c:pt>
                <c:pt idx="1007">
                  <c:v>43104</c:v>
                </c:pt>
                <c:pt idx="1008">
                  <c:v>43105</c:v>
                </c:pt>
                <c:pt idx="1009">
                  <c:v>43108</c:v>
                </c:pt>
                <c:pt idx="1010">
                  <c:v>43109</c:v>
                </c:pt>
                <c:pt idx="1011">
                  <c:v>43110</c:v>
                </c:pt>
                <c:pt idx="1012">
                  <c:v>43111</c:v>
                </c:pt>
                <c:pt idx="1013">
                  <c:v>43112</c:v>
                </c:pt>
                <c:pt idx="1014">
                  <c:v>43115</c:v>
                </c:pt>
                <c:pt idx="1015">
                  <c:v>43116</c:v>
                </c:pt>
                <c:pt idx="1016">
                  <c:v>43117</c:v>
                </c:pt>
                <c:pt idx="1017">
                  <c:v>43118</c:v>
                </c:pt>
                <c:pt idx="1018">
                  <c:v>43119</c:v>
                </c:pt>
                <c:pt idx="1019">
                  <c:v>43122</c:v>
                </c:pt>
                <c:pt idx="1020">
                  <c:v>43123</c:v>
                </c:pt>
                <c:pt idx="1021">
                  <c:v>43124</c:v>
                </c:pt>
                <c:pt idx="1022">
                  <c:v>43125</c:v>
                </c:pt>
                <c:pt idx="1023">
                  <c:v>43126</c:v>
                </c:pt>
                <c:pt idx="1024">
                  <c:v>43129</c:v>
                </c:pt>
                <c:pt idx="1025">
                  <c:v>43130</c:v>
                </c:pt>
                <c:pt idx="1026">
                  <c:v>43131</c:v>
                </c:pt>
                <c:pt idx="1027">
                  <c:v>43132</c:v>
                </c:pt>
                <c:pt idx="1028">
                  <c:v>43133</c:v>
                </c:pt>
                <c:pt idx="1029">
                  <c:v>43137</c:v>
                </c:pt>
                <c:pt idx="1030">
                  <c:v>43138</c:v>
                </c:pt>
                <c:pt idx="1031">
                  <c:v>43139</c:v>
                </c:pt>
                <c:pt idx="1032">
                  <c:v>43140</c:v>
                </c:pt>
                <c:pt idx="1033">
                  <c:v>43143</c:v>
                </c:pt>
                <c:pt idx="1034">
                  <c:v>43144</c:v>
                </c:pt>
                <c:pt idx="1035">
                  <c:v>43145</c:v>
                </c:pt>
                <c:pt idx="1036">
                  <c:v>43146</c:v>
                </c:pt>
                <c:pt idx="1037">
                  <c:v>43147</c:v>
                </c:pt>
                <c:pt idx="1038">
                  <c:v>43150</c:v>
                </c:pt>
                <c:pt idx="1039">
                  <c:v>43151</c:v>
                </c:pt>
                <c:pt idx="1040">
                  <c:v>43152</c:v>
                </c:pt>
                <c:pt idx="1041">
                  <c:v>43153</c:v>
                </c:pt>
                <c:pt idx="1042">
                  <c:v>43154</c:v>
                </c:pt>
                <c:pt idx="1043">
                  <c:v>43157</c:v>
                </c:pt>
                <c:pt idx="1044">
                  <c:v>43158</c:v>
                </c:pt>
                <c:pt idx="1045">
                  <c:v>43159</c:v>
                </c:pt>
                <c:pt idx="1046">
                  <c:v>43160</c:v>
                </c:pt>
                <c:pt idx="1047">
                  <c:v>43161</c:v>
                </c:pt>
                <c:pt idx="1048">
                  <c:v>43164</c:v>
                </c:pt>
                <c:pt idx="1049">
                  <c:v>43165</c:v>
                </c:pt>
                <c:pt idx="1050">
                  <c:v>43166</c:v>
                </c:pt>
                <c:pt idx="1051">
                  <c:v>43167</c:v>
                </c:pt>
                <c:pt idx="1052">
                  <c:v>43168</c:v>
                </c:pt>
                <c:pt idx="1053">
                  <c:v>43171</c:v>
                </c:pt>
                <c:pt idx="1054">
                  <c:v>43172</c:v>
                </c:pt>
                <c:pt idx="1055">
                  <c:v>43173</c:v>
                </c:pt>
                <c:pt idx="1056">
                  <c:v>43174</c:v>
                </c:pt>
                <c:pt idx="1057">
                  <c:v>43175</c:v>
                </c:pt>
                <c:pt idx="1058">
                  <c:v>43179</c:v>
                </c:pt>
                <c:pt idx="1059">
                  <c:v>43180</c:v>
                </c:pt>
                <c:pt idx="1060">
                  <c:v>43181</c:v>
                </c:pt>
                <c:pt idx="1061">
                  <c:v>43182</c:v>
                </c:pt>
                <c:pt idx="1062">
                  <c:v>43185</c:v>
                </c:pt>
                <c:pt idx="1063">
                  <c:v>43186</c:v>
                </c:pt>
                <c:pt idx="1064">
                  <c:v>43187</c:v>
                </c:pt>
                <c:pt idx="1065">
                  <c:v>43192</c:v>
                </c:pt>
                <c:pt idx="1066">
                  <c:v>43193</c:v>
                </c:pt>
                <c:pt idx="1067">
                  <c:v>43194</c:v>
                </c:pt>
                <c:pt idx="1068">
                  <c:v>43195</c:v>
                </c:pt>
                <c:pt idx="1069">
                  <c:v>43196</c:v>
                </c:pt>
                <c:pt idx="1070">
                  <c:v>43199</c:v>
                </c:pt>
                <c:pt idx="1071">
                  <c:v>43200</c:v>
                </c:pt>
                <c:pt idx="1072">
                  <c:v>43201</c:v>
                </c:pt>
                <c:pt idx="1073">
                  <c:v>43202</c:v>
                </c:pt>
                <c:pt idx="1074">
                  <c:v>43203</c:v>
                </c:pt>
                <c:pt idx="1075">
                  <c:v>43206</c:v>
                </c:pt>
                <c:pt idx="1076">
                  <c:v>43207</c:v>
                </c:pt>
                <c:pt idx="1077">
                  <c:v>43208</c:v>
                </c:pt>
                <c:pt idx="1078">
                  <c:v>43209</c:v>
                </c:pt>
                <c:pt idx="1079">
                  <c:v>43210</c:v>
                </c:pt>
                <c:pt idx="1080">
                  <c:v>43213</c:v>
                </c:pt>
                <c:pt idx="1081">
                  <c:v>43214</c:v>
                </c:pt>
                <c:pt idx="1082">
                  <c:v>43215</c:v>
                </c:pt>
                <c:pt idx="1083">
                  <c:v>43216</c:v>
                </c:pt>
                <c:pt idx="1084">
                  <c:v>43217</c:v>
                </c:pt>
                <c:pt idx="1085">
                  <c:v>43220</c:v>
                </c:pt>
                <c:pt idx="1086">
                  <c:v>43222</c:v>
                </c:pt>
                <c:pt idx="1087">
                  <c:v>43223</c:v>
                </c:pt>
                <c:pt idx="1088">
                  <c:v>43224</c:v>
                </c:pt>
                <c:pt idx="1089">
                  <c:v>43227</c:v>
                </c:pt>
                <c:pt idx="1090">
                  <c:v>43228</c:v>
                </c:pt>
                <c:pt idx="1091">
                  <c:v>43229</c:v>
                </c:pt>
                <c:pt idx="1092">
                  <c:v>43230</c:v>
                </c:pt>
                <c:pt idx="1093">
                  <c:v>43231</c:v>
                </c:pt>
                <c:pt idx="1094">
                  <c:v>43234</c:v>
                </c:pt>
                <c:pt idx="1095">
                  <c:v>43235</c:v>
                </c:pt>
                <c:pt idx="1096">
                  <c:v>43236</c:v>
                </c:pt>
                <c:pt idx="1097">
                  <c:v>43237</c:v>
                </c:pt>
                <c:pt idx="1098">
                  <c:v>43238</c:v>
                </c:pt>
                <c:pt idx="1099">
                  <c:v>43241</c:v>
                </c:pt>
                <c:pt idx="1100">
                  <c:v>43242</c:v>
                </c:pt>
                <c:pt idx="1101">
                  <c:v>43243</c:v>
                </c:pt>
                <c:pt idx="1102">
                  <c:v>43244</c:v>
                </c:pt>
                <c:pt idx="1103">
                  <c:v>43245</c:v>
                </c:pt>
                <c:pt idx="1104">
                  <c:v>43248</c:v>
                </c:pt>
                <c:pt idx="1105">
                  <c:v>43249</c:v>
                </c:pt>
                <c:pt idx="1106">
                  <c:v>43250</c:v>
                </c:pt>
                <c:pt idx="1107">
                  <c:v>43251</c:v>
                </c:pt>
                <c:pt idx="1108">
                  <c:v>43252</c:v>
                </c:pt>
                <c:pt idx="1109">
                  <c:v>43255</c:v>
                </c:pt>
                <c:pt idx="1110">
                  <c:v>43256</c:v>
                </c:pt>
                <c:pt idx="1111">
                  <c:v>43257</c:v>
                </c:pt>
                <c:pt idx="1112">
                  <c:v>43258</c:v>
                </c:pt>
                <c:pt idx="1113">
                  <c:v>43259</c:v>
                </c:pt>
                <c:pt idx="1114">
                  <c:v>43262</c:v>
                </c:pt>
                <c:pt idx="1115">
                  <c:v>43263</c:v>
                </c:pt>
                <c:pt idx="1116">
                  <c:v>43264</c:v>
                </c:pt>
                <c:pt idx="1117">
                  <c:v>43265</c:v>
                </c:pt>
                <c:pt idx="1118">
                  <c:v>43266</c:v>
                </c:pt>
                <c:pt idx="1119">
                  <c:v>43269</c:v>
                </c:pt>
                <c:pt idx="1120">
                  <c:v>43270</c:v>
                </c:pt>
                <c:pt idx="1121">
                  <c:v>43271</c:v>
                </c:pt>
                <c:pt idx="1122">
                  <c:v>43272</c:v>
                </c:pt>
                <c:pt idx="1123">
                  <c:v>43273</c:v>
                </c:pt>
                <c:pt idx="1124">
                  <c:v>43276</c:v>
                </c:pt>
                <c:pt idx="1125">
                  <c:v>43277</c:v>
                </c:pt>
                <c:pt idx="1126">
                  <c:v>43278</c:v>
                </c:pt>
                <c:pt idx="1127">
                  <c:v>43279</c:v>
                </c:pt>
                <c:pt idx="1128">
                  <c:v>43280</c:v>
                </c:pt>
                <c:pt idx="1129">
                  <c:v>43283</c:v>
                </c:pt>
                <c:pt idx="1130">
                  <c:v>43284</c:v>
                </c:pt>
                <c:pt idx="1131">
                  <c:v>43285</c:v>
                </c:pt>
                <c:pt idx="1132">
                  <c:v>43286</c:v>
                </c:pt>
                <c:pt idx="1133">
                  <c:v>43287</c:v>
                </c:pt>
                <c:pt idx="1134">
                  <c:v>43290</c:v>
                </c:pt>
                <c:pt idx="1135">
                  <c:v>43291</c:v>
                </c:pt>
                <c:pt idx="1136">
                  <c:v>43292</c:v>
                </c:pt>
                <c:pt idx="1137">
                  <c:v>43293</c:v>
                </c:pt>
                <c:pt idx="1138">
                  <c:v>43294</c:v>
                </c:pt>
                <c:pt idx="1139">
                  <c:v>43297</c:v>
                </c:pt>
                <c:pt idx="1140">
                  <c:v>43298</c:v>
                </c:pt>
                <c:pt idx="1141">
                  <c:v>43299</c:v>
                </c:pt>
                <c:pt idx="1142">
                  <c:v>43300</c:v>
                </c:pt>
                <c:pt idx="1143">
                  <c:v>43301</c:v>
                </c:pt>
                <c:pt idx="1144">
                  <c:v>43304</c:v>
                </c:pt>
                <c:pt idx="1145">
                  <c:v>43305</c:v>
                </c:pt>
                <c:pt idx="1146">
                  <c:v>43306</c:v>
                </c:pt>
                <c:pt idx="1147">
                  <c:v>43307</c:v>
                </c:pt>
                <c:pt idx="1148">
                  <c:v>43308</c:v>
                </c:pt>
                <c:pt idx="1149">
                  <c:v>43311</c:v>
                </c:pt>
                <c:pt idx="1150">
                  <c:v>43312</c:v>
                </c:pt>
                <c:pt idx="1151">
                  <c:v>43313</c:v>
                </c:pt>
                <c:pt idx="1152">
                  <c:v>43314</c:v>
                </c:pt>
                <c:pt idx="1153">
                  <c:v>43315</c:v>
                </c:pt>
                <c:pt idx="1154">
                  <c:v>43318</c:v>
                </c:pt>
                <c:pt idx="1155">
                  <c:v>43319</c:v>
                </c:pt>
                <c:pt idx="1156">
                  <c:v>43320</c:v>
                </c:pt>
                <c:pt idx="1157">
                  <c:v>43321</c:v>
                </c:pt>
                <c:pt idx="1158">
                  <c:v>43322</c:v>
                </c:pt>
                <c:pt idx="1159">
                  <c:v>43325</c:v>
                </c:pt>
                <c:pt idx="1160">
                  <c:v>43326</c:v>
                </c:pt>
                <c:pt idx="1161">
                  <c:v>43327</c:v>
                </c:pt>
                <c:pt idx="1162">
                  <c:v>43328</c:v>
                </c:pt>
                <c:pt idx="1163">
                  <c:v>43329</c:v>
                </c:pt>
                <c:pt idx="1164">
                  <c:v>43332</c:v>
                </c:pt>
                <c:pt idx="1165">
                  <c:v>43333</c:v>
                </c:pt>
                <c:pt idx="1166">
                  <c:v>43334</c:v>
                </c:pt>
                <c:pt idx="1167">
                  <c:v>43335</c:v>
                </c:pt>
                <c:pt idx="1168">
                  <c:v>43336</c:v>
                </c:pt>
                <c:pt idx="1169">
                  <c:v>43339</c:v>
                </c:pt>
                <c:pt idx="1170">
                  <c:v>43340</c:v>
                </c:pt>
                <c:pt idx="1171">
                  <c:v>43341</c:v>
                </c:pt>
                <c:pt idx="1172">
                  <c:v>43342</c:v>
                </c:pt>
                <c:pt idx="1173">
                  <c:v>43343</c:v>
                </c:pt>
                <c:pt idx="1174">
                  <c:v>43346</c:v>
                </c:pt>
                <c:pt idx="1175">
                  <c:v>43347</c:v>
                </c:pt>
                <c:pt idx="1176">
                  <c:v>43348</c:v>
                </c:pt>
                <c:pt idx="1177">
                  <c:v>43349</c:v>
                </c:pt>
                <c:pt idx="1178">
                  <c:v>43350</c:v>
                </c:pt>
                <c:pt idx="1179">
                  <c:v>43353</c:v>
                </c:pt>
                <c:pt idx="1180">
                  <c:v>43354</c:v>
                </c:pt>
                <c:pt idx="1181">
                  <c:v>43355</c:v>
                </c:pt>
                <c:pt idx="1182">
                  <c:v>43356</c:v>
                </c:pt>
                <c:pt idx="1183">
                  <c:v>43357</c:v>
                </c:pt>
                <c:pt idx="1184">
                  <c:v>43360</c:v>
                </c:pt>
                <c:pt idx="1185">
                  <c:v>43361</c:v>
                </c:pt>
                <c:pt idx="1186">
                  <c:v>43362</c:v>
                </c:pt>
                <c:pt idx="1187">
                  <c:v>43363</c:v>
                </c:pt>
                <c:pt idx="1188">
                  <c:v>43364</c:v>
                </c:pt>
                <c:pt idx="1189">
                  <c:v>43367</c:v>
                </c:pt>
                <c:pt idx="1190">
                  <c:v>43368</c:v>
                </c:pt>
                <c:pt idx="1191">
                  <c:v>43369</c:v>
                </c:pt>
                <c:pt idx="1192">
                  <c:v>43370</c:v>
                </c:pt>
                <c:pt idx="1193">
                  <c:v>43371</c:v>
                </c:pt>
                <c:pt idx="1194">
                  <c:v>43374</c:v>
                </c:pt>
                <c:pt idx="1195">
                  <c:v>43375</c:v>
                </c:pt>
                <c:pt idx="1196">
                  <c:v>43376</c:v>
                </c:pt>
                <c:pt idx="1197">
                  <c:v>43377</c:v>
                </c:pt>
                <c:pt idx="1198">
                  <c:v>43378</c:v>
                </c:pt>
                <c:pt idx="1199">
                  <c:v>43381</c:v>
                </c:pt>
                <c:pt idx="1200">
                  <c:v>43382</c:v>
                </c:pt>
                <c:pt idx="1201">
                  <c:v>43383</c:v>
                </c:pt>
                <c:pt idx="1202">
                  <c:v>43384</c:v>
                </c:pt>
                <c:pt idx="1203">
                  <c:v>43385</c:v>
                </c:pt>
                <c:pt idx="1204">
                  <c:v>43388</c:v>
                </c:pt>
                <c:pt idx="1205">
                  <c:v>43389</c:v>
                </c:pt>
                <c:pt idx="1206">
                  <c:v>43390</c:v>
                </c:pt>
                <c:pt idx="1207">
                  <c:v>43391</c:v>
                </c:pt>
                <c:pt idx="1208">
                  <c:v>43392</c:v>
                </c:pt>
                <c:pt idx="1209">
                  <c:v>43395</c:v>
                </c:pt>
                <c:pt idx="1210">
                  <c:v>43396</c:v>
                </c:pt>
                <c:pt idx="1211">
                  <c:v>43397</c:v>
                </c:pt>
                <c:pt idx="1212">
                  <c:v>43398</c:v>
                </c:pt>
                <c:pt idx="1213">
                  <c:v>43399</c:v>
                </c:pt>
                <c:pt idx="1214">
                  <c:v>43402</c:v>
                </c:pt>
                <c:pt idx="1215">
                  <c:v>43403</c:v>
                </c:pt>
                <c:pt idx="1216">
                  <c:v>43404</c:v>
                </c:pt>
                <c:pt idx="1217">
                  <c:v>43405</c:v>
                </c:pt>
                <c:pt idx="1218">
                  <c:v>43409</c:v>
                </c:pt>
                <c:pt idx="1219">
                  <c:v>43410</c:v>
                </c:pt>
                <c:pt idx="1220">
                  <c:v>43411</c:v>
                </c:pt>
                <c:pt idx="1221">
                  <c:v>43412</c:v>
                </c:pt>
                <c:pt idx="1222">
                  <c:v>43413</c:v>
                </c:pt>
                <c:pt idx="1223">
                  <c:v>43416</c:v>
                </c:pt>
                <c:pt idx="1224">
                  <c:v>43417</c:v>
                </c:pt>
                <c:pt idx="1225">
                  <c:v>43418</c:v>
                </c:pt>
                <c:pt idx="1226">
                  <c:v>43419</c:v>
                </c:pt>
                <c:pt idx="1227">
                  <c:v>43420</c:v>
                </c:pt>
                <c:pt idx="1228">
                  <c:v>43424</c:v>
                </c:pt>
                <c:pt idx="1229">
                  <c:v>43425</c:v>
                </c:pt>
                <c:pt idx="1230">
                  <c:v>43426</c:v>
                </c:pt>
                <c:pt idx="1231">
                  <c:v>43427</c:v>
                </c:pt>
                <c:pt idx="1232">
                  <c:v>43430</c:v>
                </c:pt>
                <c:pt idx="1233">
                  <c:v>43431</c:v>
                </c:pt>
                <c:pt idx="1234">
                  <c:v>43432</c:v>
                </c:pt>
                <c:pt idx="1235">
                  <c:v>43433</c:v>
                </c:pt>
                <c:pt idx="1236">
                  <c:v>43434</c:v>
                </c:pt>
                <c:pt idx="1237">
                  <c:v>43437</c:v>
                </c:pt>
                <c:pt idx="1238">
                  <c:v>43438</c:v>
                </c:pt>
                <c:pt idx="1239">
                  <c:v>43439</c:v>
                </c:pt>
                <c:pt idx="1240">
                  <c:v>43440</c:v>
                </c:pt>
                <c:pt idx="1241">
                  <c:v>43441</c:v>
                </c:pt>
                <c:pt idx="1242">
                  <c:v>43444</c:v>
                </c:pt>
                <c:pt idx="1243">
                  <c:v>43445</c:v>
                </c:pt>
                <c:pt idx="1244">
                  <c:v>43447</c:v>
                </c:pt>
                <c:pt idx="1245">
                  <c:v>43448</c:v>
                </c:pt>
                <c:pt idx="1246">
                  <c:v>43451</c:v>
                </c:pt>
                <c:pt idx="1247">
                  <c:v>43452</c:v>
                </c:pt>
                <c:pt idx="1248">
                  <c:v>43453</c:v>
                </c:pt>
                <c:pt idx="1249">
                  <c:v>43454</c:v>
                </c:pt>
                <c:pt idx="1250">
                  <c:v>43455</c:v>
                </c:pt>
                <c:pt idx="1251">
                  <c:v>43458</c:v>
                </c:pt>
                <c:pt idx="1252">
                  <c:v>43460</c:v>
                </c:pt>
                <c:pt idx="1253">
                  <c:v>43461</c:v>
                </c:pt>
                <c:pt idx="1254">
                  <c:v>43462</c:v>
                </c:pt>
                <c:pt idx="1255">
                  <c:v>43465</c:v>
                </c:pt>
                <c:pt idx="1256">
                  <c:v>43467</c:v>
                </c:pt>
                <c:pt idx="1257">
                  <c:v>43468</c:v>
                </c:pt>
                <c:pt idx="1258">
                  <c:v>43469</c:v>
                </c:pt>
                <c:pt idx="1259">
                  <c:v>43472</c:v>
                </c:pt>
                <c:pt idx="1260">
                  <c:v>43473</c:v>
                </c:pt>
                <c:pt idx="1261">
                  <c:v>43474</c:v>
                </c:pt>
                <c:pt idx="1262">
                  <c:v>43475</c:v>
                </c:pt>
                <c:pt idx="1263">
                  <c:v>43476</c:v>
                </c:pt>
                <c:pt idx="1264">
                  <c:v>43479</c:v>
                </c:pt>
                <c:pt idx="1265">
                  <c:v>43480</c:v>
                </c:pt>
                <c:pt idx="1266">
                  <c:v>43481</c:v>
                </c:pt>
                <c:pt idx="1267">
                  <c:v>43482</c:v>
                </c:pt>
                <c:pt idx="1268">
                  <c:v>43483</c:v>
                </c:pt>
                <c:pt idx="1269">
                  <c:v>43486</c:v>
                </c:pt>
                <c:pt idx="1270">
                  <c:v>43487</c:v>
                </c:pt>
                <c:pt idx="1271">
                  <c:v>43488</c:v>
                </c:pt>
                <c:pt idx="1272">
                  <c:v>43489</c:v>
                </c:pt>
                <c:pt idx="1273">
                  <c:v>43490</c:v>
                </c:pt>
                <c:pt idx="1274">
                  <c:v>43493</c:v>
                </c:pt>
                <c:pt idx="1275">
                  <c:v>43494</c:v>
                </c:pt>
                <c:pt idx="1276">
                  <c:v>43495</c:v>
                </c:pt>
                <c:pt idx="1277">
                  <c:v>43496</c:v>
                </c:pt>
                <c:pt idx="1278">
                  <c:v>43497</c:v>
                </c:pt>
                <c:pt idx="1279">
                  <c:v>43501</c:v>
                </c:pt>
                <c:pt idx="1280">
                  <c:v>43502</c:v>
                </c:pt>
                <c:pt idx="1281">
                  <c:v>43503</c:v>
                </c:pt>
                <c:pt idx="1282">
                  <c:v>43504</c:v>
                </c:pt>
                <c:pt idx="1283">
                  <c:v>43507</c:v>
                </c:pt>
                <c:pt idx="1284">
                  <c:v>43508</c:v>
                </c:pt>
                <c:pt idx="1285">
                  <c:v>43509</c:v>
                </c:pt>
                <c:pt idx="1286">
                  <c:v>43510</c:v>
                </c:pt>
                <c:pt idx="1287">
                  <c:v>43511</c:v>
                </c:pt>
                <c:pt idx="1288">
                  <c:v>43514</c:v>
                </c:pt>
                <c:pt idx="1289">
                  <c:v>43515</c:v>
                </c:pt>
                <c:pt idx="1290">
                  <c:v>43516</c:v>
                </c:pt>
                <c:pt idx="1291">
                  <c:v>43517</c:v>
                </c:pt>
                <c:pt idx="1292">
                  <c:v>43518</c:v>
                </c:pt>
                <c:pt idx="1293">
                  <c:v>43521</c:v>
                </c:pt>
                <c:pt idx="1294">
                  <c:v>43522</c:v>
                </c:pt>
                <c:pt idx="1295">
                  <c:v>43523</c:v>
                </c:pt>
                <c:pt idx="1296">
                  <c:v>43524</c:v>
                </c:pt>
                <c:pt idx="1297">
                  <c:v>43525</c:v>
                </c:pt>
                <c:pt idx="1298">
                  <c:v>43528</c:v>
                </c:pt>
                <c:pt idx="1299">
                  <c:v>43529</c:v>
                </c:pt>
                <c:pt idx="1300">
                  <c:v>43530</c:v>
                </c:pt>
                <c:pt idx="1301">
                  <c:v>43531</c:v>
                </c:pt>
                <c:pt idx="1302">
                  <c:v>43532</c:v>
                </c:pt>
                <c:pt idx="1303">
                  <c:v>43535</c:v>
                </c:pt>
                <c:pt idx="1304">
                  <c:v>43536</c:v>
                </c:pt>
                <c:pt idx="1305">
                  <c:v>43537</c:v>
                </c:pt>
                <c:pt idx="1306">
                  <c:v>43538</c:v>
                </c:pt>
                <c:pt idx="1307">
                  <c:v>43539</c:v>
                </c:pt>
                <c:pt idx="1308">
                  <c:v>43543</c:v>
                </c:pt>
                <c:pt idx="1309">
                  <c:v>43544</c:v>
                </c:pt>
                <c:pt idx="1310">
                  <c:v>43545</c:v>
                </c:pt>
                <c:pt idx="1311">
                  <c:v>43546</c:v>
                </c:pt>
                <c:pt idx="1312">
                  <c:v>43549</c:v>
                </c:pt>
                <c:pt idx="1313">
                  <c:v>43550</c:v>
                </c:pt>
                <c:pt idx="1314">
                  <c:v>43551</c:v>
                </c:pt>
                <c:pt idx="1315">
                  <c:v>43552</c:v>
                </c:pt>
                <c:pt idx="1316">
                  <c:v>43553</c:v>
                </c:pt>
                <c:pt idx="1317">
                  <c:v>43556</c:v>
                </c:pt>
                <c:pt idx="1318">
                  <c:v>43557</c:v>
                </c:pt>
                <c:pt idx="1319">
                  <c:v>43558</c:v>
                </c:pt>
                <c:pt idx="1320">
                  <c:v>43559</c:v>
                </c:pt>
                <c:pt idx="1321">
                  <c:v>43560</c:v>
                </c:pt>
                <c:pt idx="1322">
                  <c:v>43563</c:v>
                </c:pt>
                <c:pt idx="1323">
                  <c:v>43564</c:v>
                </c:pt>
                <c:pt idx="1324">
                  <c:v>43565</c:v>
                </c:pt>
                <c:pt idx="1325">
                  <c:v>43566</c:v>
                </c:pt>
                <c:pt idx="1326">
                  <c:v>43567</c:v>
                </c:pt>
                <c:pt idx="1327">
                  <c:v>43570</c:v>
                </c:pt>
                <c:pt idx="1328">
                  <c:v>43571</c:v>
                </c:pt>
                <c:pt idx="1329">
                  <c:v>43572</c:v>
                </c:pt>
                <c:pt idx="1330">
                  <c:v>43577</c:v>
                </c:pt>
                <c:pt idx="1331">
                  <c:v>43578</c:v>
                </c:pt>
                <c:pt idx="1332">
                  <c:v>43579</c:v>
                </c:pt>
                <c:pt idx="1333">
                  <c:v>43580</c:v>
                </c:pt>
                <c:pt idx="1334">
                  <c:v>43581</c:v>
                </c:pt>
                <c:pt idx="1335">
                  <c:v>43584</c:v>
                </c:pt>
                <c:pt idx="1336">
                  <c:v>43585</c:v>
                </c:pt>
                <c:pt idx="1337">
                  <c:v>43587</c:v>
                </c:pt>
                <c:pt idx="1338">
                  <c:v>43588</c:v>
                </c:pt>
                <c:pt idx="1339">
                  <c:v>43591</c:v>
                </c:pt>
                <c:pt idx="1340">
                  <c:v>43592</c:v>
                </c:pt>
                <c:pt idx="1341">
                  <c:v>43593</c:v>
                </c:pt>
                <c:pt idx="1342">
                  <c:v>43594</c:v>
                </c:pt>
                <c:pt idx="1343">
                  <c:v>43595</c:v>
                </c:pt>
                <c:pt idx="1344">
                  <c:v>43598</c:v>
                </c:pt>
                <c:pt idx="1345">
                  <c:v>43599</c:v>
                </c:pt>
                <c:pt idx="1346">
                  <c:v>43600</c:v>
                </c:pt>
                <c:pt idx="1347">
                  <c:v>43601</c:v>
                </c:pt>
                <c:pt idx="1348">
                  <c:v>43602</c:v>
                </c:pt>
                <c:pt idx="1349">
                  <c:v>43605</c:v>
                </c:pt>
                <c:pt idx="1350">
                  <c:v>43606</c:v>
                </c:pt>
                <c:pt idx="1351">
                  <c:v>43607</c:v>
                </c:pt>
                <c:pt idx="1352">
                  <c:v>43608</c:v>
                </c:pt>
                <c:pt idx="1353">
                  <c:v>43609</c:v>
                </c:pt>
                <c:pt idx="1354">
                  <c:v>43612</c:v>
                </c:pt>
                <c:pt idx="1355">
                  <c:v>43613</c:v>
                </c:pt>
                <c:pt idx="1356">
                  <c:v>43614</c:v>
                </c:pt>
                <c:pt idx="1357">
                  <c:v>43615</c:v>
                </c:pt>
                <c:pt idx="1358">
                  <c:v>43616</c:v>
                </c:pt>
                <c:pt idx="1359">
                  <c:v>43619</c:v>
                </c:pt>
                <c:pt idx="1360">
                  <c:v>43620</c:v>
                </c:pt>
                <c:pt idx="1361">
                  <c:v>43621</c:v>
                </c:pt>
                <c:pt idx="1362">
                  <c:v>43622</c:v>
                </c:pt>
                <c:pt idx="1363">
                  <c:v>43623</c:v>
                </c:pt>
                <c:pt idx="1364">
                  <c:v>43626</c:v>
                </c:pt>
                <c:pt idx="1365">
                  <c:v>43627</c:v>
                </c:pt>
                <c:pt idx="1366">
                  <c:v>43628</c:v>
                </c:pt>
                <c:pt idx="1367">
                  <c:v>43629</c:v>
                </c:pt>
                <c:pt idx="1368">
                  <c:v>43630</c:v>
                </c:pt>
                <c:pt idx="1369">
                  <c:v>43633</c:v>
                </c:pt>
                <c:pt idx="1370">
                  <c:v>43634</c:v>
                </c:pt>
                <c:pt idx="1371">
                  <c:v>43635</c:v>
                </c:pt>
                <c:pt idx="1372">
                  <c:v>43636</c:v>
                </c:pt>
                <c:pt idx="1373">
                  <c:v>43637</c:v>
                </c:pt>
                <c:pt idx="1374">
                  <c:v>43640</c:v>
                </c:pt>
                <c:pt idx="1375">
                  <c:v>43641</c:v>
                </c:pt>
                <c:pt idx="1376">
                  <c:v>43642</c:v>
                </c:pt>
                <c:pt idx="1377">
                  <c:v>43643</c:v>
                </c:pt>
                <c:pt idx="1378">
                  <c:v>43644</c:v>
                </c:pt>
                <c:pt idx="1379">
                  <c:v>43647</c:v>
                </c:pt>
                <c:pt idx="1380">
                  <c:v>43648</c:v>
                </c:pt>
                <c:pt idx="1381">
                  <c:v>43649</c:v>
                </c:pt>
                <c:pt idx="1382">
                  <c:v>43650</c:v>
                </c:pt>
                <c:pt idx="1383">
                  <c:v>43651</c:v>
                </c:pt>
                <c:pt idx="1384">
                  <c:v>43654</c:v>
                </c:pt>
                <c:pt idx="1385">
                  <c:v>43655</c:v>
                </c:pt>
                <c:pt idx="1386">
                  <c:v>43656</c:v>
                </c:pt>
                <c:pt idx="1387">
                  <c:v>43657</c:v>
                </c:pt>
                <c:pt idx="1388">
                  <c:v>43658</c:v>
                </c:pt>
                <c:pt idx="1389">
                  <c:v>43661</c:v>
                </c:pt>
                <c:pt idx="1390">
                  <c:v>43662</c:v>
                </c:pt>
                <c:pt idx="1391">
                  <c:v>43663</c:v>
                </c:pt>
                <c:pt idx="1392">
                  <c:v>43664</c:v>
                </c:pt>
                <c:pt idx="1393">
                  <c:v>43665</c:v>
                </c:pt>
                <c:pt idx="1394">
                  <c:v>43668</c:v>
                </c:pt>
                <c:pt idx="1395">
                  <c:v>43669</c:v>
                </c:pt>
                <c:pt idx="1396">
                  <c:v>43670</c:v>
                </c:pt>
                <c:pt idx="1397">
                  <c:v>43671</c:v>
                </c:pt>
                <c:pt idx="1398">
                  <c:v>43672</c:v>
                </c:pt>
                <c:pt idx="1399">
                  <c:v>43675</c:v>
                </c:pt>
                <c:pt idx="1400">
                  <c:v>43676</c:v>
                </c:pt>
                <c:pt idx="1401">
                  <c:v>43677</c:v>
                </c:pt>
                <c:pt idx="1402">
                  <c:v>43678</c:v>
                </c:pt>
                <c:pt idx="1403">
                  <c:v>43679</c:v>
                </c:pt>
                <c:pt idx="1404">
                  <c:v>43682</c:v>
                </c:pt>
                <c:pt idx="1405">
                  <c:v>43683</c:v>
                </c:pt>
                <c:pt idx="1406">
                  <c:v>43684</c:v>
                </c:pt>
                <c:pt idx="1407">
                  <c:v>43685</c:v>
                </c:pt>
                <c:pt idx="1408">
                  <c:v>43686</c:v>
                </c:pt>
                <c:pt idx="1409">
                  <c:v>43689</c:v>
                </c:pt>
                <c:pt idx="1410">
                  <c:v>43690</c:v>
                </c:pt>
                <c:pt idx="1411">
                  <c:v>43691</c:v>
                </c:pt>
                <c:pt idx="1412">
                  <c:v>43692</c:v>
                </c:pt>
                <c:pt idx="1413">
                  <c:v>43693</c:v>
                </c:pt>
                <c:pt idx="1414">
                  <c:v>43696</c:v>
                </c:pt>
                <c:pt idx="1415">
                  <c:v>43697</c:v>
                </c:pt>
                <c:pt idx="1416">
                  <c:v>43698</c:v>
                </c:pt>
                <c:pt idx="1417">
                  <c:v>43699</c:v>
                </c:pt>
                <c:pt idx="1418">
                  <c:v>43700</c:v>
                </c:pt>
                <c:pt idx="1419">
                  <c:v>43703</c:v>
                </c:pt>
                <c:pt idx="1420">
                  <c:v>43704</c:v>
                </c:pt>
                <c:pt idx="1421">
                  <c:v>43705</c:v>
                </c:pt>
                <c:pt idx="1422">
                  <c:v>43706</c:v>
                </c:pt>
                <c:pt idx="1423">
                  <c:v>43707</c:v>
                </c:pt>
                <c:pt idx="1424">
                  <c:v>43710</c:v>
                </c:pt>
                <c:pt idx="1425">
                  <c:v>43711</c:v>
                </c:pt>
                <c:pt idx="1426">
                  <c:v>43712</c:v>
                </c:pt>
                <c:pt idx="1427">
                  <c:v>43713</c:v>
                </c:pt>
                <c:pt idx="1428">
                  <c:v>43714</c:v>
                </c:pt>
                <c:pt idx="1429">
                  <c:v>43717</c:v>
                </c:pt>
                <c:pt idx="1430">
                  <c:v>43718</c:v>
                </c:pt>
                <c:pt idx="1431">
                  <c:v>43719</c:v>
                </c:pt>
                <c:pt idx="1432">
                  <c:v>43720</c:v>
                </c:pt>
                <c:pt idx="1433">
                  <c:v>43721</c:v>
                </c:pt>
                <c:pt idx="1434">
                  <c:v>43725</c:v>
                </c:pt>
                <c:pt idx="1435">
                  <c:v>43726</c:v>
                </c:pt>
                <c:pt idx="1436">
                  <c:v>43727</c:v>
                </c:pt>
                <c:pt idx="1437">
                  <c:v>43728</c:v>
                </c:pt>
                <c:pt idx="1438">
                  <c:v>43731</c:v>
                </c:pt>
                <c:pt idx="1439">
                  <c:v>43732</c:v>
                </c:pt>
                <c:pt idx="1440">
                  <c:v>43733</c:v>
                </c:pt>
                <c:pt idx="1441">
                  <c:v>43734</c:v>
                </c:pt>
                <c:pt idx="1442">
                  <c:v>43735</c:v>
                </c:pt>
                <c:pt idx="1443">
                  <c:v>43738</c:v>
                </c:pt>
                <c:pt idx="1444">
                  <c:v>43739</c:v>
                </c:pt>
                <c:pt idx="1445">
                  <c:v>43740</c:v>
                </c:pt>
                <c:pt idx="1446">
                  <c:v>43741</c:v>
                </c:pt>
                <c:pt idx="1447">
                  <c:v>43742</c:v>
                </c:pt>
                <c:pt idx="1448">
                  <c:v>43745</c:v>
                </c:pt>
                <c:pt idx="1449">
                  <c:v>43746</c:v>
                </c:pt>
                <c:pt idx="1450">
                  <c:v>43747</c:v>
                </c:pt>
                <c:pt idx="1451">
                  <c:v>43748</c:v>
                </c:pt>
                <c:pt idx="1452">
                  <c:v>43749</c:v>
                </c:pt>
                <c:pt idx="1453">
                  <c:v>43752</c:v>
                </c:pt>
                <c:pt idx="1454">
                  <c:v>43753</c:v>
                </c:pt>
                <c:pt idx="1455">
                  <c:v>43754</c:v>
                </c:pt>
                <c:pt idx="1456">
                  <c:v>43755</c:v>
                </c:pt>
                <c:pt idx="1457">
                  <c:v>43756</c:v>
                </c:pt>
                <c:pt idx="1458">
                  <c:v>43759</c:v>
                </c:pt>
                <c:pt idx="1459">
                  <c:v>43760</c:v>
                </c:pt>
                <c:pt idx="1460">
                  <c:v>43761</c:v>
                </c:pt>
                <c:pt idx="1461">
                  <c:v>43762</c:v>
                </c:pt>
                <c:pt idx="1462">
                  <c:v>43763</c:v>
                </c:pt>
                <c:pt idx="1463">
                  <c:v>43766</c:v>
                </c:pt>
                <c:pt idx="1464">
                  <c:v>43767</c:v>
                </c:pt>
                <c:pt idx="1465">
                  <c:v>43768</c:v>
                </c:pt>
                <c:pt idx="1466">
                  <c:v>43769</c:v>
                </c:pt>
                <c:pt idx="1467">
                  <c:v>43770</c:v>
                </c:pt>
                <c:pt idx="1468">
                  <c:v>43773</c:v>
                </c:pt>
                <c:pt idx="1469">
                  <c:v>43774</c:v>
                </c:pt>
                <c:pt idx="1470">
                  <c:v>43775</c:v>
                </c:pt>
                <c:pt idx="1471">
                  <c:v>43776</c:v>
                </c:pt>
                <c:pt idx="1472">
                  <c:v>43777</c:v>
                </c:pt>
                <c:pt idx="1473">
                  <c:v>43780</c:v>
                </c:pt>
                <c:pt idx="1474">
                  <c:v>43781</c:v>
                </c:pt>
                <c:pt idx="1475">
                  <c:v>43782</c:v>
                </c:pt>
                <c:pt idx="1476">
                  <c:v>43783</c:v>
                </c:pt>
                <c:pt idx="1477">
                  <c:v>43784</c:v>
                </c:pt>
                <c:pt idx="1478">
                  <c:v>43788</c:v>
                </c:pt>
                <c:pt idx="1479">
                  <c:v>43789</c:v>
                </c:pt>
                <c:pt idx="1480">
                  <c:v>43790</c:v>
                </c:pt>
                <c:pt idx="1481">
                  <c:v>43791</c:v>
                </c:pt>
                <c:pt idx="1482">
                  <c:v>43794</c:v>
                </c:pt>
                <c:pt idx="1483">
                  <c:v>43795</c:v>
                </c:pt>
                <c:pt idx="1484">
                  <c:v>43796</c:v>
                </c:pt>
                <c:pt idx="1485">
                  <c:v>43797</c:v>
                </c:pt>
                <c:pt idx="1486">
                  <c:v>43798</c:v>
                </c:pt>
                <c:pt idx="1487">
                  <c:v>43801</c:v>
                </c:pt>
                <c:pt idx="1488">
                  <c:v>43802</c:v>
                </c:pt>
                <c:pt idx="1489">
                  <c:v>43803</c:v>
                </c:pt>
                <c:pt idx="1490">
                  <c:v>43804</c:v>
                </c:pt>
                <c:pt idx="1491">
                  <c:v>43805</c:v>
                </c:pt>
                <c:pt idx="1492">
                  <c:v>43808</c:v>
                </c:pt>
                <c:pt idx="1493">
                  <c:v>43809</c:v>
                </c:pt>
                <c:pt idx="1494">
                  <c:v>43810</c:v>
                </c:pt>
                <c:pt idx="1495">
                  <c:v>43812</c:v>
                </c:pt>
                <c:pt idx="1496">
                  <c:v>43815</c:v>
                </c:pt>
                <c:pt idx="1497">
                  <c:v>43816</c:v>
                </c:pt>
                <c:pt idx="1498">
                  <c:v>43817</c:v>
                </c:pt>
                <c:pt idx="1499">
                  <c:v>43818</c:v>
                </c:pt>
                <c:pt idx="1500">
                  <c:v>43819</c:v>
                </c:pt>
                <c:pt idx="1501">
                  <c:v>43822</c:v>
                </c:pt>
                <c:pt idx="1502">
                  <c:v>43823</c:v>
                </c:pt>
                <c:pt idx="1503">
                  <c:v>43825</c:v>
                </c:pt>
                <c:pt idx="1504">
                  <c:v>43826</c:v>
                </c:pt>
                <c:pt idx="1505">
                  <c:v>43829</c:v>
                </c:pt>
                <c:pt idx="1506">
                  <c:v>43830</c:v>
                </c:pt>
                <c:pt idx="1507">
                  <c:v>43832</c:v>
                </c:pt>
                <c:pt idx="1508">
                  <c:v>43833</c:v>
                </c:pt>
                <c:pt idx="1509">
                  <c:v>43836</c:v>
                </c:pt>
                <c:pt idx="1510">
                  <c:v>43837</c:v>
                </c:pt>
                <c:pt idx="1511">
                  <c:v>43838</c:v>
                </c:pt>
                <c:pt idx="1512">
                  <c:v>43839</c:v>
                </c:pt>
                <c:pt idx="1513">
                  <c:v>43840</c:v>
                </c:pt>
                <c:pt idx="1514">
                  <c:v>43843</c:v>
                </c:pt>
                <c:pt idx="1515">
                  <c:v>43844</c:v>
                </c:pt>
                <c:pt idx="1516">
                  <c:v>43845</c:v>
                </c:pt>
                <c:pt idx="1517">
                  <c:v>43846</c:v>
                </c:pt>
                <c:pt idx="1518">
                  <c:v>43847</c:v>
                </c:pt>
                <c:pt idx="1519">
                  <c:v>43850</c:v>
                </c:pt>
                <c:pt idx="1520">
                  <c:v>43851</c:v>
                </c:pt>
                <c:pt idx="1521">
                  <c:v>43852</c:v>
                </c:pt>
                <c:pt idx="1522">
                  <c:v>43853</c:v>
                </c:pt>
                <c:pt idx="1523">
                  <c:v>43854</c:v>
                </c:pt>
                <c:pt idx="1524">
                  <c:v>43857</c:v>
                </c:pt>
                <c:pt idx="1525">
                  <c:v>43858</c:v>
                </c:pt>
                <c:pt idx="1526">
                  <c:v>43859</c:v>
                </c:pt>
                <c:pt idx="1527">
                  <c:v>43860</c:v>
                </c:pt>
                <c:pt idx="1528">
                  <c:v>43861</c:v>
                </c:pt>
                <c:pt idx="1529">
                  <c:v>43865</c:v>
                </c:pt>
                <c:pt idx="1530">
                  <c:v>43866</c:v>
                </c:pt>
                <c:pt idx="1531">
                  <c:v>43867</c:v>
                </c:pt>
                <c:pt idx="1532">
                  <c:v>43868</c:v>
                </c:pt>
                <c:pt idx="1533">
                  <c:v>43871</c:v>
                </c:pt>
                <c:pt idx="1534">
                  <c:v>43872</c:v>
                </c:pt>
                <c:pt idx="1535">
                  <c:v>43873</c:v>
                </c:pt>
                <c:pt idx="1536">
                  <c:v>43874</c:v>
                </c:pt>
                <c:pt idx="1537">
                  <c:v>43875</c:v>
                </c:pt>
                <c:pt idx="1538">
                  <c:v>43878</c:v>
                </c:pt>
                <c:pt idx="1539">
                  <c:v>43879</c:v>
                </c:pt>
                <c:pt idx="1540">
                  <c:v>43880</c:v>
                </c:pt>
                <c:pt idx="1541">
                  <c:v>43881</c:v>
                </c:pt>
                <c:pt idx="1542">
                  <c:v>43882</c:v>
                </c:pt>
                <c:pt idx="1543">
                  <c:v>43885</c:v>
                </c:pt>
                <c:pt idx="1544">
                  <c:v>43886</c:v>
                </c:pt>
                <c:pt idx="1545">
                  <c:v>43887</c:v>
                </c:pt>
                <c:pt idx="1546">
                  <c:v>43888</c:v>
                </c:pt>
                <c:pt idx="1547">
                  <c:v>43889</c:v>
                </c:pt>
                <c:pt idx="1548">
                  <c:v>43892</c:v>
                </c:pt>
                <c:pt idx="1549">
                  <c:v>43893</c:v>
                </c:pt>
                <c:pt idx="1550">
                  <c:v>43894</c:v>
                </c:pt>
                <c:pt idx="1551">
                  <c:v>43895</c:v>
                </c:pt>
                <c:pt idx="1552">
                  <c:v>43896</c:v>
                </c:pt>
                <c:pt idx="1553">
                  <c:v>43899</c:v>
                </c:pt>
                <c:pt idx="1554">
                  <c:v>43900</c:v>
                </c:pt>
                <c:pt idx="1555">
                  <c:v>43901</c:v>
                </c:pt>
                <c:pt idx="1556">
                  <c:v>43902</c:v>
                </c:pt>
                <c:pt idx="1557">
                  <c:v>43903</c:v>
                </c:pt>
                <c:pt idx="1558">
                  <c:v>43907</c:v>
                </c:pt>
                <c:pt idx="1559">
                  <c:v>43908</c:v>
                </c:pt>
                <c:pt idx="1560">
                  <c:v>43909</c:v>
                </c:pt>
                <c:pt idx="1561">
                  <c:v>43910</c:v>
                </c:pt>
                <c:pt idx="1562">
                  <c:v>43913</c:v>
                </c:pt>
                <c:pt idx="1563">
                  <c:v>43914</c:v>
                </c:pt>
                <c:pt idx="1564">
                  <c:v>43915</c:v>
                </c:pt>
                <c:pt idx="1565">
                  <c:v>43916</c:v>
                </c:pt>
                <c:pt idx="1566">
                  <c:v>43917</c:v>
                </c:pt>
                <c:pt idx="1567">
                  <c:v>43920</c:v>
                </c:pt>
                <c:pt idx="1568">
                  <c:v>43921</c:v>
                </c:pt>
                <c:pt idx="1569">
                  <c:v>43922</c:v>
                </c:pt>
                <c:pt idx="1570">
                  <c:v>43923</c:v>
                </c:pt>
                <c:pt idx="1571">
                  <c:v>43924</c:v>
                </c:pt>
                <c:pt idx="1572">
                  <c:v>43927</c:v>
                </c:pt>
                <c:pt idx="1573">
                  <c:v>43928</c:v>
                </c:pt>
                <c:pt idx="1574">
                  <c:v>43929</c:v>
                </c:pt>
                <c:pt idx="1575">
                  <c:v>43934</c:v>
                </c:pt>
                <c:pt idx="1576">
                  <c:v>43935</c:v>
                </c:pt>
                <c:pt idx="1577">
                  <c:v>43936</c:v>
                </c:pt>
                <c:pt idx="1578">
                  <c:v>43937</c:v>
                </c:pt>
                <c:pt idx="1579">
                  <c:v>43938</c:v>
                </c:pt>
                <c:pt idx="1580">
                  <c:v>43941</c:v>
                </c:pt>
                <c:pt idx="1581">
                  <c:v>43942</c:v>
                </c:pt>
                <c:pt idx="1582">
                  <c:v>43943</c:v>
                </c:pt>
                <c:pt idx="1583">
                  <c:v>43944</c:v>
                </c:pt>
                <c:pt idx="1584">
                  <c:v>43945</c:v>
                </c:pt>
                <c:pt idx="1585">
                  <c:v>43948</c:v>
                </c:pt>
                <c:pt idx="1586">
                  <c:v>43949</c:v>
                </c:pt>
                <c:pt idx="1587">
                  <c:v>43950</c:v>
                </c:pt>
                <c:pt idx="1588">
                  <c:v>43951</c:v>
                </c:pt>
                <c:pt idx="1589">
                  <c:v>43955</c:v>
                </c:pt>
                <c:pt idx="1590">
                  <c:v>43956</c:v>
                </c:pt>
                <c:pt idx="1591">
                  <c:v>43957</c:v>
                </c:pt>
                <c:pt idx="1592">
                  <c:v>43958</c:v>
                </c:pt>
                <c:pt idx="1593">
                  <c:v>43959</c:v>
                </c:pt>
                <c:pt idx="1594">
                  <c:v>43962</c:v>
                </c:pt>
                <c:pt idx="1595">
                  <c:v>43963</c:v>
                </c:pt>
                <c:pt idx="1596">
                  <c:v>43964</c:v>
                </c:pt>
                <c:pt idx="1597">
                  <c:v>43965</c:v>
                </c:pt>
                <c:pt idx="1598">
                  <c:v>43966</c:v>
                </c:pt>
                <c:pt idx="1599">
                  <c:v>43969</c:v>
                </c:pt>
                <c:pt idx="1600">
                  <c:v>43970</c:v>
                </c:pt>
                <c:pt idx="1601">
                  <c:v>43971</c:v>
                </c:pt>
                <c:pt idx="1602">
                  <c:v>43972</c:v>
                </c:pt>
                <c:pt idx="1603">
                  <c:v>43973</c:v>
                </c:pt>
                <c:pt idx="1604">
                  <c:v>43976</c:v>
                </c:pt>
                <c:pt idx="1605">
                  <c:v>43977</c:v>
                </c:pt>
                <c:pt idx="1606">
                  <c:v>43978</c:v>
                </c:pt>
                <c:pt idx="1607">
                  <c:v>43979</c:v>
                </c:pt>
                <c:pt idx="1608">
                  <c:v>43980</c:v>
                </c:pt>
                <c:pt idx="1609">
                  <c:v>43983</c:v>
                </c:pt>
                <c:pt idx="1610">
                  <c:v>43984</c:v>
                </c:pt>
                <c:pt idx="1611">
                  <c:v>43985</c:v>
                </c:pt>
                <c:pt idx="1612">
                  <c:v>43986</c:v>
                </c:pt>
                <c:pt idx="1613">
                  <c:v>43987</c:v>
                </c:pt>
                <c:pt idx="1614">
                  <c:v>43990</c:v>
                </c:pt>
                <c:pt idx="1615">
                  <c:v>43991</c:v>
                </c:pt>
                <c:pt idx="1616">
                  <c:v>43992</c:v>
                </c:pt>
                <c:pt idx="1617">
                  <c:v>43993</c:v>
                </c:pt>
                <c:pt idx="1618">
                  <c:v>43994</c:v>
                </c:pt>
                <c:pt idx="1619">
                  <c:v>43997</c:v>
                </c:pt>
                <c:pt idx="1620">
                  <c:v>43998</c:v>
                </c:pt>
                <c:pt idx="1621">
                  <c:v>43999</c:v>
                </c:pt>
                <c:pt idx="1622">
                  <c:v>44000</c:v>
                </c:pt>
                <c:pt idx="1623">
                  <c:v>44001</c:v>
                </c:pt>
                <c:pt idx="1624">
                  <c:v>44004</c:v>
                </c:pt>
                <c:pt idx="1625">
                  <c:v>44005</c:v>
                </c:pt>
                <c:pt idx="1626">
                  <c:v>44006</c:v>
                </c:pt>
                <c:pt idx="1627">
                  <c:v>44007</c:v>
                </c:pt>
                <c:pt idx="1628">
                  <c:v>44008</c:v>
                </c:pt>
                <c:pt idx="1629">
                  <c:v>44011</c:v>
                </c:pt>
                <c:pt idx="1630">
                  <c:v>44012</c:v>
                </c:pt>
                <c:pt idx="1631">
                  <c:v>44013</c:v>
                </c:pt>
                <c:pt idx="1632">
                  <c:v>44014</c:v>
                </c:pt>
                <c:pt idx="1633">
                  <c:v>44015</c:v>
                </c:pt>
                <c:pt idx="1634">
                  <c:v>44018</c:v>
                </c:pt>
                <c:pt idx="1635">
                  <c:v>44019</c:v>
                </c:pt>
                <c:pt idx="1636">
                  <c:v>44020</c:v>
                </c:pt>
                <c:pt idx="1637">
                  <c:v>44021</c:v>
                </c:pt>
                <c:pt idx="1638">
                  <c:v>44022</c:v>
                </c:pt>
                <c:pt idx="1639">
                  <c:v>44025</c:v>
                </c:pt>
                <c:pt idx="1640">
                  <c:v>44026</c:v>
                </c:pt>
                <c:pt idx="1641">
                  <c:v>44027</c:v>
                </c:pt>
                <c:pt idx="1642">
                  <c:v>44028</c:v>
                </c:pt>
                <c:pt idx="1643">
                  <c:v>44029</c:v>
                </c:pt>
                <c:pt idx="1644">
                  <c:v>44032</c:v>
                </c:pt>
                <c:pt idx="1645">
                  <c:v>44033</c:v>
                </c:pt>
                <c:pt idx="1646">
                  <c:v>44034</c:v>
                </c:pt>
                <c:pt idx="1647">
                  <c:v>44035</c:v>
                </c:pt>
                <c:pt idx="1648">
                  <c:v>44036</c:v>
                </c:pt>
                <c:pt idx="1649">
                  <c:v>44039</c:v>
                </c:pt>
                <c:pt idx="1650">
                  <c:v>44040</c:v>
                </c:pt>
                <c:pt idx="1651">
                  <c:v>44041</c:v>
                </c:pt>
                <c:pt idx="1652">
                  <c:v>44042</c:v>
                </c:pt>
                <c:pt idx="1653">
                  <c:v>44043</c:v>
                </c:pt>
                <c:pt idx="1654">
                  <c:v>44046</c:v>
                </c:pt>
                <c:pt idx="1655">
                  <c:v>44047</c:v>
                </c:pt>
                <c:pt idx="1656">
                  <c:v>44048</c:v>
                </c:pt>
                <c:pt idx="1657">
                  <c:v>44049</c:v>
                </c:pt>
                <c:pt idx="1658">
                  <c:v>44050</c:v>
                </c:pt>
                <c:pt idx="1659">
                  <c:v>44053</c:v>
                </c:pt>
                <c:pt idx="1660">
                  <c:v>44054</c:v>
                </c:pt>
                <c:pt idx="1661">
                  <c:v>44055</c:v>
                </c:pt>
                <c:pt idx="1662">
                  <c:v>44056</c:v>
                </c:pt>
                <c:pt idx="1663">
                  <c:v>44057</c:v>
                </c:pt>
                <c:pt idx="1664">
                  <c:v>44060</c:v>
                </c:pt>
                <c:pt idx="1665">
                  <c:v>44061</c:v>
                </c:pt>
                <c:pt idx="1666">
                  <c:v>44062</c:v>
                </c:pt>
                <c:pt idx="1667">
                  <c:v>44063</c:v>
                </c:pt>
                <c:pt idx="1668">
                  <c:v>44064</c:v>
                </c:pt>
                <c:pt idx="1669">
                  <c:v>44067</c:v>
                </c:pt>
                <c:pt idx="1670">
                  <c:v>44068</c:v>
                </c:pt>
                <c:pt idx="1671">
                  <c:v>44069</c:v>
                </c:pt>
                <c:pt idx="1672">
                  <c:v>44070</c:v>
                </c:pt>
                <c:pt idx="1673">
                  <c:v>44071</c:v>
                </c:pt>
                <c:pt idx="1674">
                  <c:v>44074</c:v>
                </c:pt>
                <c:pt idx="1675">
                  <c:v>44075</c:v>
                </c:pt>
                <c:pt idx="1676">
                  <c:v>44076</c:v>
                </c:pt>
                <c:pt idx="1677">
                  <c:v>44077</c:v>
                </c:pt>
                <c:pt idx="1678">
                  <c:v>44078</c:v>
                </c:pt>
                <c:pt idx="1679">
                  <c:v>44081</c:v>
                </c:pt>
                <c:pt idx="1680">
                  <c:v>44082</c:v>
                </c:pt>
                <c:pt idx="1681">
                  <c:v>44083</c:v>
                </c:pt>
                <c:pt idx="1682">
                  <c:v>44084</c:v>
                </c:pt>
                <c:pt idx="1683">
                  <c:v>44085</c:v>
                </c:pt>
                <c:pt idx="1684">
                  <c:v>44088</c:v>
                </c:pt>
                <c:pt idx="1685">
                  <c:v>44089</c:v>
                </c:pt>
                <c:pt idx="1686">
                  <c:v>44091</c:v>
                </c:pt>
                <c:pt idx="1687">
                  <c:v>44092</c:v>
                </c:pt>
                <c:pt idx="1688">
                  <c:v>44095</c:v>
                </c:pt>
                <c:pt idx="1689">
                  <c:v>44096</c:v>
                </c:pt>
                <c:pt idx="1690">
                  <c:v>44097</c:v>
                </c:pt>
                <c:pt idx="1691">
                  <c:v>44098</c:v>
                </c:pt>
                <c:pt idx="1692">
                  <c:v>44099</c:v>
                </c:pt>
                <c:pt idx="1693">
                  <c:v>44102</c:v>
                </c:pt>
                <c:pt idx="1694">
                  <c:v>44103</c:v>
                </c:pt>
                <c:pt idx="1695">
                  <c:v>44104</c:v>
                </c:pt>
                <c:pt idx="1696">
                  <c:v>44105</c:v>
                </c:pt>
                <c:pt idx="1697">
                  <c:v>44106</c:v>
                </c:pt>
                <c:pt idx="1698">
                  <c:v>44109</c:v>
                </c:pt>
                <c:pt idx="1699">
                  <c:v>44110</c:v>
                </c:pt>
                <c:pt idx="1700">
                  <c:v>44111</c:v>
                </c:pt>
                <c:pt idx="1701">
                  <c:v>44112</c:v>
                </c:pt>
                <c:pt idx="1702">
                  <c:v>44113</c:v>
                </c:pt>
                <c:pt idx="1703">
                  <c:v>44116</c:v>
                </c:pt>
                <c:pt idx="1704">
                  <c:v>44117</c:v>
                </c:pt>
                <c:pt idx="1705">
                  <c:v>44118</c:v>
                </c:pt>
                <c:pt idx="1706">
                  <c:v>44119</c:v>
                </c:pt>
                <c:pt idx="1707">
                  <c:v>44120</c:v>
                </c:pt>
                <c:pt idx="1708">
                  <c:v>44123</c:v>
                </c:pt>
                <c:pt idx="1709">
                  <c:v>44124</c:v>
                </c:pt>
                <c:pt idx="1710">
                  <c:v>44125</c:v>
                </c:pt>
                <c:pt idx="1711">
                  <c:v>44126</c:v>
                </c:pt>
                <c:pt idx="1712">
                  <c:v>44127</c:v>
                </c:pt>
                <c:pt idx="1713">
                  <c:v>44130</c:v>
                </c:pt>
                <c:pt idx="1714">
                  <c:v>44131</c:v>
                </c:pt>
                <c:pt idx="1715">
                  <c:v>44132</c:v>
                </c:pt>
                <c:pt idx="1716">
                  <c:v>44133</c:v>
                </c:pt>
                <c:pt idx="1717">
                  <c:v>44134</c:v>
                </c:pt>
                <c:pt idx="1718">
                  <c:v>44138</c:v>
                </c:pt>
                <c:pt idx="1719">
                  <c:v>44139</c:v>
                </c:pt>
                <c:pt idx="1720">
                  <c:v>44140</c:v>
                </c:pt>
                <c:pt idx="1721">
                  <c:v>44141</c:v>
                </c:pt>
                <c:pt idx="1722">
                  <c:v>44144</c:v>
                </c:pt>
                <c:pt idx="1723">
                  <c:v>44145</c:v>
                </c:pt>
                <c:pt idx="1724">
                  <c:v>44146</c:v>
                </c:pt>
                <c:pt idx="1725">
                  <c:v>44147</c:v>
                </c:pt>
                <c:pt idx="1726">
                  <c:v>44148</c:v>
                </c:pt>
                <c:pt idx="1727">
                  <c:v>44152</c:v>
                </c:pt>
                <c:pt idx="1728">
                  <c:v>44153</c:v>
                </c:pt>
                <c:pt idx="1729">
                  <c:v>44154</c:v>
                </c:pt>
                <c:pt idx="1730">
                  <c:v>44155</c:v>
                </c:pt>
                <c:pt idx="1731">
                  <c:v>44158</c:v>
                </c:pt>
                <c:pt idx="1732">
                  <c:v>44159</c:v>
                </c:pt>
                <c:pt idx="1733">
                  <c:v>44160</c:v>
                </c:pt>
                <c:pt idx="1734">
                  <c:v>44161</c:v>
                </c:pt>
                <c:pt idx="1735">
                  <c:v>44162</c:v>
                </c:pt>
                <c:pt idx="1736">
                  <c:v>44165</c:v>
                </c:pt>
                <c:pt idx="1737">
                  <c:v>44166</c:v>
                </c:pt>
                <c:pt idx="1738">
                  <c:v>44167</c:v>
                </c:pt>
                <c:pt idx="1739">
                  <c:v>44168</c:v>
                </c:pt>
                <c:pt idx="1740">
                  <c:v>44169</c:v>
                </c:pt>
                <c:pt idx="1741">
                  <c:v>44172</c:v>
                </c:pt>
                <c:pt idx="1742">
                  <c:v>44173</c:v>
                </c:pt>
                <c:pt idx="1743">
                  <c:v>44174</c:v>
                </c:pt>
                <c:pt idx="1744">
                  <c:v>44175</c:v>
                </c:pt>
                <c:pt idx="1745">
                  <c:v>44176</c:v>
                </c:pt>
                <c:pt idx="1746">
                  <c:v>44179</c:v>
                </c:pt>
                <c:pt idx="1747">
                  <c:v>44180</c:v>
                </c:pt>
                <c:pt idx="1748">
                  <c:v>44181</c:v>
                </c:pt>
                <c:pt idx="1749">
                  <c:v>44182</c:v>
                </c:pt>
                <c:pt idx="1750">
                  <c:v>44183</c:v>
                </c:pt>
                <c:pt idx="1751">
                  <c:v>44186</c:v>
                </c:pt>
                <c:pt idx="1752">
                  <c:v>44187</c:v>
                </c:pt>
                <c:pt idx="1753">
                  <c:v>44188</c:v>
                </c:pt>
                <c:pt idx="1754">
                  <c:v>44189</c:v>
                </c:pt>
                <c:pt idx="1755">
                  <c:v>44193</c:v>
                </c:pt>
                <c:pt idx="1756">
                  <c:v>44194</c:v>
                </c:pt>
                <c:pt idx="1757">
                  <c:v>44195</c:v>
                </c:pt>
                <c:pt idx="1758">
                  <c:v>44196</c:v>
                </c:pt>
                <c:pt idx="1759">
                  <c:v>44200</c:v>
                </c:pt>
                <c:pt idx="1760">
                  <c:v>44201</c:v>
                </c:pt>
                <c:pt idx="1761">
                  <c:v>44202</c:v>
                </c:pt>
                <c:pt idx="1762">
                  <c:v>44203</c:v>
                </c:pt>
                <c:pt idx="1763">
                  <c:v>44204</c:v>
                </c:pt>
                <c:pt idx="1764">
                  <c:v>44207</c:v>
                </c:pt>
                <c:pt idx="1765">
                  <c:v>44208</c:v>
                </c:pt>
                <c:pt idx="1766">
                  <c:v>44209</c:v>
                </c:pt>
                <c:pt idx="1767">
                  <c:v>44210</c:v>
                </c:pt>
                <c:pt idx="1768">
                  <c:v>44211</c:v>
                </c:pt>
                <c:pt idx="1769">
                  <c:v>44214</c:v>
                </c:pt>
                <c:pt idx="1770">
                  <c:v>44215</c:v>
                </c:pt>
                <c:pt idx="1771">
                  <c:v>44216</c:v>
                </c:pt>
                <c:pt idx="1772">
                  <c:v>44217</c:v>
                </c:pt>
                <c:pt idx="1773">
                  <c:v>44218</c:v>
                </c:pt>
                <c:pt idx="1774">
                  <c:v>44221</c:v>
                </c:pt>
                <c:pt idx="1775">
                  <c:v>44222</c:v>
                </c:pt>
                <c:pt idx="1776">
                  <c:v>44223</c:v>
                </c:pt>
                <c:pt idx="1777">
                  <c:v>44224</c:v>
                </c:pt>
                <c:pt idx="1778">
                  <c:v>44225</c:v>
                </c:pt>
                <c:pt idx="1779">
                  <c:v>44229</c:v>
                </c:pt>
                <c:pt idx="1780">
                  <c:v>44230</c:v>
                </c:pt>
                <c:pt idx="1781">
                  <c:v>44231</c:v>
                </c:pt>
                <c:pt idx="1782">
                  <c:v>44232</c:v>
                </c:pt>
                <c:pt idx="1783">
                  <c:v>44235</c:v>
                </c:pt>
                <c:pt idx="1784">
                  <c:v>44236</c:v>
                </c:pt>
                <c:pt idx="1785">
                  <c:v>44237</c:v>
                </c:pt>
                <c:pt idx="1786">
                  <c:v>44238</c:v>
                </c:pt>
                <c:pt idx="1787">
                  <c:v>44239</c:v>
                </c:pt>
                <c:pt idx="1788">
                  <c:v>44242</c:v>
                </c:pt>
                <c:pt idx="1789">
                  <c:v>44243</c:v>
                </c:pt>
                <c:pt idx="1790">
                  <c:v>44244</c:v>
                </c:pt>
                <c:pt idx="1791">
                  <c:v>44245</c:v>
                </c:pt>
                <c:pt idx="1792">
                  <c:v>44246</c:v>
                </c:pt>
                <c:pt idx="1793">
                  <c:v>44249</c:v>
                </c:pt>
                <c:pt idx="1794">
                  <c:v>44250</c:v>
                </c:pt>
                <c:pt idx="1795">
                  <c:v>44251</c:v>
                </c:pt>
                <c:pt idx="1796">
                  <c:v>44252</c:v>
                </c:pt>
                <c:pt idx="1797">
                  <c:v>44253</c:v>
                </c:pt>
                <c:pt idx="1798">
                  <c:v>44256</c:v>
                </c:pt>
                <c:pt idx="1799">
                  <c:v>44257</c:v>
                </c:pt>
                <c:pt idx="1800">
                  <c:v>44258</c:v>
                </c:pt>
                <c:pt idx="1801">
                  <c:v>44259</c:v>
                </c:pt>
                <c:pt idx="1802">
                  <c:v>44260</c:v>
                </c:pt>
                <c:pt idx="1803">
                  <c:v>44263</c:v>
                </c:pt>
                <c:pt idx="1804">
                  <c:v>44264</c:v>
                </c:pt>
                <c:pt idx="1805">
                  <c:v>44265</c:v>
                </c:pt>
                <c:pt idx="1806">
                  <c:v>44266</c:v>
                </c:pt>
                <c:pt idx="1807">
                  <c:v>44267</c:v>
                </c:pt>
                <c:pt idx="1808">
                  <c:v>44271</c:v>
                </c:pt>
                <c:pt idx="1809">
                  <c:v>44272</c:v>
                </c:pt>
                <c:pt idx="1810">
                  <c:v>44273</c:v>
                </c:pt>
                <c:pt idx="1811">
                  <c:v>44274</c:v>
                </c:pt>
                <c:pt idx="1812">
                  <c:v>44277</c:v>
                </c:pt>
                <c:pt idx="1813">
                  <c:v>44278</c:v>
                </c:pt>
                <c:pt idx="1814">
                  <c:v>44279</c:v>
                </c:pt>
                <c:pt idx="1815">
                  <c:v>44280</c:v>
                </c:pt>
                <c:pt idx="1816">
                  <c:v>44281</c:v>
                </c:pt>
                <c:pt idx="1817">
                  <c:v>44284</c:v>
                </c:pt>
                <c:pt idx="1818">
                  <c:v>44285</c:v>
                </c:pt>
                <c:pt idx="1819">
                  <c:v>44286</c:v>
                </c:pt>
                <c:pt idx="1820">
                  <c:v>44291</c:v>
                </c:pt>
                <c:pt idx="1821">
                  <c:v>44292</c:v>
                </c:pt>
                <c:pt idx="1822">
                  <c:v>44293</c:v>
                </c:pt>
                <c:pt idx="1823">
                  <c:v>44294</c:v>
                </c:pt>
                <c:pt idx="1824">
                  <c:v>44295</c:v>
                </c:pt>
                <c:pt idx="1825">
                  <c:v>44298</c:v>
                </c:pt>
                <c:pt idx="1826">
                  <c:v>44299</c:v>
                </c:pt>
                <c:pt idx="1827">
                  <c:v>44300</c:v>
                </c:pt>
                <c:pt idx="1828">
                  <c:v>44301</c:v>
                </c:pt>
                <c:pt idx="1829">
                  <c:v>44302</c:v>
                </c:pt>
                <c:pt idx="1830">
                  <c:v>44305</c:v>
                </c:pt>
                <c:pt idx="1831">
                  <c:v>44306</c:v>
                </c:pt>
                <c:pt idx="1832">
                  <c:v>44307</c:v>
                </c:pt>
                <c:pt idx="1833">
                  <c:v>44308</c:v>
                </c:pt>
                <c:pt idx="1834">
                  <c:v>44309</c:v>
                </c:pt>
                <c:pt idx="1835">
                  <c:v>44312</c:v>
                </c:pt>
                <c:pt idx="1836">
                  <c:v>44313</c:v>
                </c:pt>
                <c:pt idx="1837">
                  <c:v>44314</c:v>
                </c:pt>
                <c:pt idx="1838">
                  <c:v>44315</c:v>
                </c:pt>
                <c:pt idx="1839">
                  <c:v>44316</c:v>
                </c:pt>
                <c:pt idx="1840">
                  <c:v>44319</c:v>
                </c:pt>
                <c:pt idx="1841">
                  <c:v>44320</c:v>
                </c:pt>
                <c:pt idx="1842">
                  <c:v>44321</c:v>
                </c:pt>
                <c:pt idx="1843">
                  <c:v>44322</c:v>
                </c:pt>
                <c:pt idx="1844">
                  <c:v>44323</c:v>
                </c:pt>
                <c:pt idx="1845">
                  <c:v>44326</c:v>
                </c:pt>
                <c:pt idx="1846">
                  <c:v>44327</c:v>
                </c:pt>
                <c:pt idx="1847">
                  <c:v>44328</c:v>
                </c:pt>
                <c:pt idx="1848">
                  <c:v>44329</c:v>
                </c:pt>
                <c:pt idx="1849">
                  <c:v>44330</c:v>
                </c:pt>
                <c:pt idx="1850">
                  <c:v>44333</c:v>
                </c:pt>
                <c:pt idx="1851">
                  <c:v>44334</c:v>
                </c:pt>
                <c:pt idx="1852">
                  <c:v>44335</c:v>
                </c:pt>
                <c:pt idx="1853">
                  <c:v>44336</c:v>
                </c:pt>
                <c:pt idx="1854">
                  <c:v>44337</c:v>
                </c:pt>
                <c:pt idx="1855">
                  <c:v>44340</c:v>
                </c:pt>
                <c:pt idx="1856">
                  <c:v>44341</c:v>
                </c:pt>
                <c:pt idx="1857">
                  <c:v>44342</c:v>
                </c:pt>
                <c:pt idx="1858">
                  <c:v>44343</c:v>
                </c:pt>
                <c:pt idx="1859">
                  <c:v>44344</c:v>
                </c:pt>
                <c:pt idx="1860">
                  <c:v>44347</c:v>
                </c:pt>
                <c:pt idx="1861">
                  <c:v>44348</c:v>
                </c:pt>
                <c:pt idx="1862">
                  <c:v>44349</c:v>
                </c:pt>
                <c:pt idx="1863">
                  <c:v>44350</c:v>
                </c:pt>
                <c:pt idx="1864">
                  <c:v>44351</c:v>
                </c:pt>
                <c:pt idx="1865">
                  <c:v>44354</c:v>
                </c:pt>
                <c:pt idx="1866">
                  <c:v>44355</c:v>
                </c:pt>
                <c:pt idx="1867">
                  <c:v>44356</c:v>
                </c:pt>
                <c:pt idx="1868">
                  <c:v>44357</c:v>
                </c:pt>
                <c:pt idx="1869">
                  <c:v>44358</c:v>
                </c:pt>
                <c:pt idx="1870">
                  <c:v>44361</c:v>
                </c:pt>
                <c:pt idx="1871">
                  <c:v>44362</c:v>
                </c:pt>
                <c:pt idx="1872">
                  <c:v>44363</c:v>
                </c:pt>
                <c:pt idx="1873">
                  <c:v>44364</c:v>
                </c:pt>
                <c:pt idx="1874">
                  <c:v>44365</c:v>
                </c:pt>
                <c:pt idx="1875">
                  <c:v>44368</c:v>
                </c:pt>
                <c:pt idx="1876">
                  <c:v>44369</c:v>
                </c:pt>
                <c:pt idx="1877">
                  <c:v>44370</c:v>
                </c:pt>
                <c:pt idx="1878">
                  <c:v>44371</c:v>
                </c:pt>
                <c:pt idx="1879">
                  <c:v>44372</c:v>
                </c:pt>
                <c:pt idx="1880">
                  <c:v>44375</c:v>
                </c:pt>
                <c:pt idx="1881">
                  <c:v>44376</c:v>
                </c:pt>
                <c:pt idx="1882">
                  <c:v>44377</c:v>
                </c:pt>
                <c:pt idx="1883">
                  <c:v>44378</c:v>
                </c:pt>
                <c:pt idx="1884">
                  <c:v>44379</c:v>
                </c:pt>
                <c:pt idx="1885">
                  <c:v>44382</c:v>
                </c:pt>
                <c:pt idx="1886">
                  <c:v>44383</c:v>
                </c:pt>
                <c:pt idx="1887">
                  <c:v>44384</c:v>
                </c:pt>
                <c:pt idx="1888">
                  <c:v>44385</c:v>
                </c:pt>
                <c:pt idx="1889">
                  <c:v>44386</c:v>
                </c:pt>
                <c:pt idx="1890">
                  <c:v>44389</c:v>
                </c:pt>
                <c:pt idx="1891">
                  <c:v>44390</c:v>
                </c:pt>
                <c:pt idx="1892">
                  <c:v>44391</c:v>
                </c:pt>
                <c:pt idx="1893">
                  <c:v>44392</c:v>
                </c:pt>
                <c:pt idx="1894">
                  <c:v>44393</c:v>
                </c:pt>
                <c:pt idx="1895">
                  <c:v>44396</c:v>
                </c:pt>
                <c:pt idx="1896">
                  <c:v>44397</c:v>
                </c:pt>
                <c:pt idx="1897">
                  <c:v>44398</c:v>
                </c:pt>
                <c:pt idx="1898">
                  <c:v>44399</c:v>
                </c:pt>
                <c:pt idx="1899">
                  <c:v>44400</c:v>
                </c:pt>
                <c:pt idx="1900">
                  <c:v>44403</c:v>
                </c:pt>
                <c:pt idx="1901">
                  <c:v>44404</c:v>
                </c:pt>
                <c:pt idx="1902">
                  <c:v>44405</c:v>
                </c:pt>
                <c:pt idx="1903">
                  <c:v>44406</c:v>
                </c:pt>
                <c:pt idx="1904">
                  <c:v>44407</c:v>
                </c:pt>
                <c:pt idx="1905">
                  <c:v>44410</c:v>
                </c:pt>
                <c:pt idx="1906">
                  <c:v>44411</c:v>
                </c:pt>
                <c:pt idx="1907">
                  <c:v>44412</c:v>
                </c:pt>
                <c:pt idx="1908">
                  <c:v>44413</c:v>
                </c:pt>
                <c:pt idx="1909">
                  <c:v>44414</c:v>
                </c:pt>
                <c:pt idx="1910">
                  <c:v>44417</c:v>
                </c:pt>
                <c:pt idx="1911">
                  <c:v>44418</c:v>
                </c:pt>
                <c:pt idx="1912">
                  <c:v>44419</c:v>
                </c:pt>
                <c:pt idx="1913">
                  <c:v>44420</c:v>
                </c:pt>
                <c:pt idx="1914">
                  <c:v>44421</c:v>
                </c:pt>
                <c:pt idx="1915">
                  <c:v>44424</c:v>
                </c:pt>
                <c:pt idx="1916">
                  <c:v>44425</c:v>
                </c:pt>
                <c:pt idx="1917">
                  <c:v>44426</c:v>
                </c:pt>
                <c:pt idx="1918">
                  <c:v>44427</c:v>
                </c:pt>
                <c:pt idx="1919">
                  <c:v>44428</c:v>
                </c:pt>
                <c:pt idx="1920">
                  <c:v>44431</c:v>
                </c:pt>
                <c:pt idx="1921">
                  <c:v>44432</c:v>
                </c:pt>
                <c:pt idx="1922">
                  <c:v>44433</c:v>
                </c:pt>
                <c:pt idx="1923">
                  <c:v>44434</c:v>
                </c:pt>
                <c:pt idx="1924">
                  <c:v>44435</c:v>
                </c:pt>
                <c:pt idx="1925">
                  <c:v>44438</c:v>
                </c:pt>
                <c:pt idx="1926">
                  <c:v>44439</c:v>
                </c:pt>
                <c:pt idx="1927">
                  <c:v>44440</c:v>
                </c:pt>
                <c:pt idx="1928">
                  <c:v>44441</c:v>
                </c:pt>
                <c:pt idx="1929">
                  <c:v>44442</c:v>
                </c:pt>
                <c:pt idx="1930">
                  <c:v>44445</c:v>
                </c:pt>
                <c:pt idx="1931">
                  <c:v>44446</c:v>
                </c:pt>
                <c:pt idx="1932">
                  <c:v>44447</c:v>
                </c:pt>
                <c:pt idx="1933">
                  <c:v>44448</c:v>
                </c:pt>
                <c:pt idx="1934">
                  <c:v>44449</c:v>
                </c:pt>
                <c:pt idx="1935">
                  <c:v>44452</c:v>
                </c:pt>
                <c:pt idx="1936">
                  <c:v>44453</c:v>
                </c:pt>
                <c:pt idx="1937">
                  <c:v>44454</c:v>
                </c:pt>
                <c:pt idx="1938">
                  <c:v>44456</c:v>
                </c:pt>
                <c:pt idx="1939">
                  <c:v>44459</c:v>
                </c:pt>
                <c:pt idx="1940">
                  <c:v>44460</c:v>
                </c:pt>
                <c:pt idx="1941">
                  <c:v>44461</c:v>
                </c:pt>
                <c:pt idx="1942">
                  <c:v>44462</c:v>
                </c:pt>
                <c:pt idx="1943">
                  <c:v>44463</c:v>
                </c:pt>
                <c:pt idx="1944">
                  <c:v>44466</c:v>
                </c:pt>
                <c:pt idx="1945">
                  <c:v>44467</c:v>
                </c:pt>
                <c:pt idx="1946">
                  <c:v>44468</c:v>
                </c:pt>
                <c:pt idx="1947">
                  <c:v>44469</c:v>
                </c:pt>
                <c:pt idx="1948">
                  <c:v>44470</c:v>
                </c:pt>
                <c:pt idx="1949">
                  <c:v>44473</c:v>
                </c:pt>
                <c:pt idx="1950">
                  <c:v>44474</c:v>
                </c:pt>
                <c:pt idx="1951">
                  <c:v>44475</c:v>
                </c:pt>
                <c:pt idx="1952">
                  <c:v>44476</c:v>
                </c:pt>
                <c:pt idx="1953">
                  <c:v>44477</c:v>
                </c:pt>
                <c:pt idx="1954">
                  <c:v>44480</c:v>
                </c:pt>
                <c:pt idx="1955">
                  <c:v>44481</c:v>
                </c:pt>
                <c:pt idx="1956">
                  <c:v>44482</c:v>
                </c:pt>
                <c:pt idx="1957">
                  <c:v>44483</c:v>
                </c:pt>
                <c:pt idx="1958">
                  <c:v>44484</c:v>
                </c:pt>
                <c:pt idx="1959">
                  <c:v>44487</c:v>
                </c:pt>
                <c:pt idx="1960">
                  <c:v>44488</c:v>
                </c:pt>
                <c:pt idx="1961">
                  <c:v>44489</c:v>
                </c:pt>
                <c:pt idx="1962">
                  <c:v>44490</c:v>
                </c:pt>
                <c:pt idx="1963">
                  <c:v>44491</c:v>
                </c:pt>
                <c:pt idx="1964">
                  <c:v>44494</c:v>
                </c:pt>
                <c:pt idx="1965">
                  <c:v>44495</c:v>
                </c:pt>
                <c:pt idx="1966">
                  <c:v>44496</c:v>
                </c:pt>
                <c:pt idx="1967">
                  <c:v>44497</c:v>
                </c:pt>
                <c:pt idx="1968">
                  <c:v>44498</c:v>
                </c:pt>
                <c:pt idx="1969">
                  <c:v>44501</c:v>
                </c:pt>
                <c:pt idx="1970">
                  <c:v>44503</c:v>
                </c:pt>
                <c:pt idx="1971">
                  <c:v>44504</c:v>
                </c:pt>
                <c:pt idx="1972">
                  <c:v>44505</c:v>
                </c:pt>
                <c:pt idx="1973">
                  <c:v>44508</c:v>
                </c:pt>
                <c:pt idx="1974">
                  <c:v>44509</c:v>
                </c:pt>
                <c:pt idx="1975">
                  <c:v>44510</c:v>
                </c:pt>
                <c:pt idx="1976">
                  <c:v>44511</c:v>
                </c:pt>
                <c:pt idx="1977">
                  <c:v>44512</c:v>
                </c:pt>
                <c:pt idx="1978">
                  <c:v>44516</c:v>
                </c:pt>
                <c:pt idx="1979">
                  <c:v>44517</c:v>
                </c:pt>
                <c:pt idx="1980">
                  <c:v>44518</c:v>
                </c:pt>
                <c:pt idx="1981">
                  <c:v>44519</c:v>
                </c:pt>
                <c:pt idx="1982">
                  <c:v>44522</c:v>
                </c:pt>
                <c:pt idx="1983">
                  <c:v>44523</c:v>
                </c:pt>
                <c:pt idx="1984">
                  <c:v>44524</c:v>
                </c:pt>
                <c:pt idx="1985">
                  <c:v>44525</c:v>
                </c:pt>
                <c:pt idx="1986">
                  <c:v>44526</c:v>
                </c:pt>
                <c:pt idx="1987">
                  <c:v>44529</c:v>
                </c:pt>
                <c:pt idx="1988">
                  <c:v>44530</c:v>
                </c:pt>
                <c:pt idx="1989">
                  <c:v>44531</c:v>
                </c:pt>
                <c:pt idx="1990">
                  <c:v>44532</c:v>
                </c:pt>
                <c:pt idx="1991">
                  <c:v>44533</c:v>
                </c:pt>
                <c:pt idx="1992">
                  <c:v>44536</c:v>
                </c:pt>
                <c:pt idx="1993">
                  <c:v>44537</c:v>
                </c:pt>
                <c:pt idx="1994">
                  <c:v>44538</c:v>
                </c:pt>
                <c:pt idx="1995">
                  <c:v>44539</c:v>
                </c:pt>
                <c:pt idx="1996">
                  <c:v>44540</c:v>
                </c:pt>
                <c:pt idx="1997">
                  <c:v>44543</c:v>
                </c:pt>
                <c:pt idx="1998">
                  <c:v>44544</c:v>
                </c:pt>
                <c:pt idx="1999">
                  <c:v>44545</c:v>
                </c:pt>
                <c:pt idx="2000">
                  <c:v>44546</c:v>
                </c:pt>
                <c:pt idx="2001">
                  <c:v>44547</c:v>
                </c:pt>
                <c:pt idx="2002">
                  <c:v>44550</c:v>
                </c:pt>
                <c:pt idx="2003">
                  <c:v>44551</c:v>
                </c:pt>
                <c:pt idx="2004">
                  <c:v>44552</c:v>
                </c:pt>
                <c:pt idx="2005">
                  <c:v>44553</c:v>
                </c:pt>
                <c:pt idx="2006">
                  <c:v>44554</c:v>
                </c:pt>
                <c:pt idx="2007">
                  <c:v>44557</c:v>
                </c:pt>
                <c:pt idx="2008">
                  <c:v>44558</c:v>
                </c:pt>
                <c:pt idx="2009">
                  <c:v>44559</c:v>
                </c:pt>
                <c:pt idx="2010">
                  <c:v>44560</c:v>
                </c:pt>
                <c:pt idx="2011">
                  <c:v>44561</c:v>
                </c:pt>
                <c:pt idx="2012">
                  <c:v>44564</c:v>
                </c:pt>
                <c:pt idx="2013">
                  <c:v>44565</c:v>
                </c:pt>
                <c:pt idx="2014">
                  <c:v>44566</c:v>
                </c:pt>
                <c:pt idx="2015">
                  <c:v>44567</c:v>
                </c:pt>
                <c:pt idx="2016">
                  <c:v>44568</c:v>
                </c:pt>
                <c:pt idx="2017">
                  <c:v>44571</c:v>
                </c:pt>
                <c:pt idx="2018">
                  <c:v>44572</c:v>
                </c:pt>
                <c:pt idx="2019">
                  <c:v>44573</c:v>
                </c:pt>
                <c:pt idx="2020">
                  <c:v>44574</c:v>
                </c:pt>
                <c:pt idx="2021">
                  <c:v>44575</c:v>
                </c:pt>
                <c:pt idx="2022">
                  <c:v>44578</c:v>
                </c:pt>
                <c:pt idx="2023">
                  <c:v>44579</c:v>
                </c:pt>
                <c:pt idx="2024">
                  <c:v>44580</c:v>
                </c:pt>
                <c:pt idx="2025">
                  <c:v>44581</c:v>
                </c:pt>
                <c:pt idx="2026">
                  <c:v>44582</c:v>
                </c:pt>
                <c:pt idx="2027">
                  <c:v>44585</c:v>
                </c:pt>
                <c:pt idx="2028">
                  <c:v>44586</c:v>
                </c:pt>
                <c:pt idx="2029">
                  <c:v>44587</c:v>
                </c:pt>
                <c:pt idx="2030">
                  <c:v>44588</c:v>
                </c:pt>
                <c:pt idx="2031">
                  <c:v>44589</c:v>
                </c:pt>
                <c:pt idx="2032">
                  <c:v>44592</c:v>
                </c:pt>
                <c:pt idx="2033">
                  <c:v>44593</c:v>
                </c:pt>
                <c:pt idx="2034">
                  <c:v>44594</c:v>
                </c:pt>
                <c:pt idx="2035">
                  <c:v>44595</c:v>
                </c:pt>
                <c:pt idx="2036">
                  <c:v>44596</c:v>
                </c:pt>
                <c:pt idx="2037">
                  <c:v>44600</c:v>
                </c:pt>
                <c:pt idx="2038">
                  <c:v>44601</c:v>
                </c:pt>
                <c:pt idx="2039">
                  <c:v>44602</c:v>
                </c:pt>
                <c:pt idx="2040">
                  <c:v>44603</c:v>
                </c:pt>
                <c:pt idx="2041">
                  <c:v>44606</c:v>
                </c:pt>
                <c:pt idx="2042">
                  <c:v>44607</c:v>
                </c:pt>
                <c:pt idx="2043">
                  <c:v>44608</c:v>
                </c:pt>
                <c:pt idx="2044">
                  <c:v>44609</c:v>
                </c:pt>
                <c:pt idx="2045">
                  <c:v>44610</c:v>
                </c:pt>
                <c:pt idx="2046">
                  <c:v>44613</c:v>
                </c:pt>
                <c:pt idx="2047">
                  <c:v>44614</c:v>
                </c:pt>
                <c:pt idx="2048">
                  <c:v>44615</c:v>
                </c:pt>
                <c:pt idx="2049">
                  <c:v>44616</c:v>
                </c:pt>
                <c:pt idx="2050">
                  <c:v>44617</c:v>
                </c:pt>
                <c:pt idx="2051">
                  <c:v>44620</c:v>
                </c:pt>
                <c:pt idx="2052">
                  <c:v>44621</c:v>
                </c:pt>
                <c:pt idx="2053">
                  <c:v>44622</c:v>
                </c:pt>
                <c:pt idx="2054">
                  <c:v>44623</c:v>
                </c:pt>
                <c:pt idx="2055">
                  <c:v>44624</c:v>
                </c:pt>
                <c:pt idx="2056">
                  <c:v>44627</c:v>
                </c:pt>
                <c:pt idx="2057">
                  <c:v>44628</c:v>
                </c:pt>
                <c:pt idx="2058">
                  <c:v>44629</c:v>
                </c:pt>
                <c:pt idx="2059">
                  <c:v>44630</c:v>
                </c:pt>
                <c:pt idx="2060">
                  <c:v>44631</c:v>
                </c:pt>
                <c:pt idx="2061">
                  <c:v>44634</c:v>
                </c:pt>
                <c:pt idx="2062">
                  <c:v>44635</c:v>
                </c:pt>
                <c:pt idx="2063">
                  <c:v>44636</c:v>
                </c:pt>
                <c:pt idx="2064">
                  <c:v>44637</c:v>
                </c:pt>
                <c:pt idx="2065">
                  <c:v>44638</c:v>
                </c:pt>
                <c:pt idx="2066">
                  <c:v>44642</c:v>
                </c:pt>
                <c:pt idx="2067">
                  <c:v>44643</c:v>
                </c:pt>
                <c:pt idx="2068">
                  <c:v>44644</c:v>
                </c:pt>
                <c:pt idx="2069">
                  <c:v>44645</c:v>
                </c:pt>
                <c:pt idx="2070">
                  <c:v>44648</c:v>
                </c:pt>
                <c:pt idx="2071">
                  <c:v>44649</c:v>
                </c:pt>
                <c:pt idx="2072">
                  <c:v>44650</c:v>
                </c:pt>
                <c:pt idx="2073">
                  <c:v>44651</c:v>
                </c:pt>
                <c:pt idx="2074">
                  <c:v>44652</c:v>
                </c:pt>
                <c:pt idx="2075">
                  <c:v>44655</c:v>
                </c:pt>
                <c:pt idx="2076">
                  <c:v>44656</c:v>
                </c:pt>
                <c:pt idx="2077">
                  <c:v>44657</c:v>
                </c:pt>
                <c:pt idx="2078">
                  <c:v>44658</c:v>
                </c:pt>
                <c:pt idx="2079">
                  <c:v>44659</c:v>
                </c:pt>
                <c:pt idx="2080">
                  <c:v>44662</c:v>
                </c:pt>
                <c:pt idx="2081">
                  <c:v>44663</c:v>
                </c:pt>
                <c:pt idx="2082">
                  <c:v>44664</c:v>
                </c:pt>
                <c:pt idx="2083">
                  <c:v>44669</c:v>
                </c:pt>
                <c:pt idx="2084">
                  <c:v>44670</c:v>
                </c:pt>
                <c:pt idx="2085">
                  <c:v>44671</c:v>
                </c:pt>
                <c:pt idx="2086">
                  <c:v>44672</c:v>
                </c:pt>
                <c:pt idx="2087">
                  <c:v>44673</c:v>
                </c:pt>
                <c:pt idx="2088">
                  <c:v>44676</c:v>
                </c:pt>
                <c:pt idx="2089">
                  <c:v>44677</c:v>
                </c:pt>
                <c:pt idx="2090">
                  <c:v>44678</c:v>
                </c:pt>
                <c:pt idx="2091">
                  <c:v>44679</c:v>
                </c:pt>
                <c:pt idx="2092">
                  <c:v>44680</c:v>
                </c:pt>
                <c:pt idx="2093">
                  <c:v>44683</c:v>
                </c:pt>
                <c:pt idx="2094">
                  <c:v>44684</c:v>
                </c:pt>
                <c:pt idx="2095">
                  <c:v>44685</c:v>
                </c:pt>
                <c:pt idx="2096">
                  <c:v>44686</c:v>
                </c:pt>
                <c:pt idx="2097">
                  <c:v>44687</c:v>
                </c:pt>
                <c:pt idx="2098">
                  <c:v>44690</c:v>
                </c:pt>
                <c:pt idx="2099">
                  <c:v>44691</c:v>
                </c:pt>
                <c:pt idx="2100">
                  <c:v>44692</c:v>
                </c:pt>
                <c:pt idx="2101">
                  <c:v>44693</c:v>
                </c:pt>
                <c:pt idx="2102">
                  <c:v>44694</c:v>
                </c:pt>
                <c:pt idx="2103">
                  <c:v>44697</c:v>
                </c:pt>
                <c:pt idx="2104">
                  <c:v>44698</c:v>
                </c:pt>
                <c:pt idx="2105">
                  <c:v>44699</c:v>
                </c:pt>
                <c:pt idx="2106">
                  <c:v>44700</c:v>
                </c:pt>
                <c:pt idx="2107">
                  <c:v>44701</c:v>
                </c:pt>
                <c:pt idx="2108">
                  <c:v>44704</c:v>
                </c:pt>
                <c:pt idx="2109">
                  <c:v>44705</c:v>
                </c:pt>
                <c:pt idx="2110">
                  <c:v>44706</c:v>
                </c:pt>
                <c:pt idx="2111">
                  <c:v>44707</c:v>
                </c:pt>
                <c:pt idx="2112">
                  <c:v>44708</c:v>
                </c:pt>
                <c:pt idx="2113">
                  <c:v>44711</c:v>
                </c:pt>
                <c:pt idx="2114">
                  <c:v>44712</c:v>
                </c:pt>
                <c:pt idx="2115">
                  <c:v>44713</c:v>
                </c:pt>
                <c:pt idx="2116">
                  <c:v>44714</c:v>
                </c:pt>
                <c:pt idx="2117">
                  <c:v>44715</c:v>
                </c:pt>
                <c:pt idx="2118">
                  <c:v>44718</c:v>
                </c:pt>
                <c:pt idx="2119">
                  <c:v>44719</c:v>
                </c:pt>
                <c:pt idx="2120">
                  <c:v>44720</c:v>
                </c:pt>
                <c:pt idx="2121">
                  <c:v>44721</c:v>
                </c:pt>
                <c:pt idx="2122">
                  <c:v>44722</c:v>
                </c:pt>
                <c:pt idx="2123">
                  <c:v>44725</c:v>
                </c:pt>
                <c:pt idx="2124">
                  <c:v>44726</c:v>
                </c:pt>
                <c:pt idx="2125">
                  <c:v>44727</c:v>
                </c:pt>
                <c:pt idx="2126">
                  <c:v>44728</c:v>
                </c:pt>
                <c:pt idx="2127">
                  <c:v>44729</c:v>
                </c:pt>
                <c:pt idx="2128">
                  <c:v>44732</c:v>
                </c:pt>
                <c:pt idx="2129">
                  <c:v>44733</c:v>
                </c:pt>
                <c:pt idx="2130">
                  <c:v>44734</c:v>
                </c:pt>
                <c:pt idx="2131">
                  <c:v>44735</c:v>
                </c:pt>
                <c:pt idx="2132">
                  <c:v>44736</c:v>
                </c:pt>
                <c:pt idx="2133">
                  <c:v>44739</c:v>
                </c:pt>
                <c:pt idx="2134">
                  <c:v>44740</c:v>
                </c:pt>
                <c:pt idx="2135">
                  <c:v>44741</c:v>
                </c:pt>
                <c:pt idx="2136">
                  <c:v>44742</c:v>
                </c:pt>
                <c:pt idx="2137">
                  <c:v>44743</c:v>
                </c:pt>
                <c:pt idx="2138">
                  <c:v>44746</c:v>
                </c:pt>
                <c:pt idx="2139">
                  <c:v>44747</c:v>
                </c:pt>
                <c:pt idx="2140">
                  <c:v>44748</c:v>
                </c:pt>
                <c:pt idx="2141">
                  <c:v>44749</c:v>
                </c:pt>
                <c:pt idx="2142">
                  <c:v>44750</c:v>
                </c:pt>
                <c:pt idx="2143">
                  <c:v>44753</c:v>
                </c:pt>
                <c:pt idx="2144">
                  <c:v>44754</c:v>
                </c:pt>
                <c:pt idx="2145">
                  <c:v>44755</c:v>
                </c:pt>
                <c:pt idx="2146">
                  <c:v>44756</c:v>
                </c:pt>
                <c:pt idx="2147">
                  <c:v>44757</c:v>
                </c:pt>
                <c:pt idx="2148">
                  <c:v>44760</c:v>
                </c:pt>
                <c:pt idx="2149">
                  <c:v>44761</c:v>
                </c:pt>
                <c:pt idx="2150">
                  <c:v>44762</c:v>
                </c:pt>
                <c:pt idx="2151">
                  <c:v>44763</c:v>
                </c:pt>
                <c:pt idx="2152">
                  <c:v>44764</c:v>
                </c:pt>
                <c:pt idx="2153">
                  <c:v>44767</c:v>
                </c:pt>
                <c:pt idx="2154">
                  <c:v>44768</c:v>
                </c:pt>
                <c:pt idx="2155">
                  <c:v>44769</c:v>
                </c:pt>
                <c:pt idx="2156">
                  <c:v>44770</c:v>
                </c:pt>
                <c:pt idx="2157">
                  <c:v>44771</c:v>
                </c:pt>
                <c:pt idx="2158">
                  <c:v>44774</c:v>
                </c:pt>
                <c:pt idx="2159">
                  <c:v>44775</c:v>
                </c:pt>
                <c:pt idx="2160">
                  <c:v>44776</c:v>
                </c:pt>
                <c:pt idx="2161">
                  <c:v>44777</c:v>
                </c:pt>
                <c:pt idx="2162">
                  <c:v>44778</c:v>
                </c:pt>
                <c:pt idx="2163">
                  <c:v>44781</c:v>
                </c:pt>
                <c:pt idx="2164">
                  <c:v>44782</c:v>
                </c:pt>
                <c:pt idx="2165">
                  <c:v>44783</c:v>
                </c:pt>
                <c:pt idx="2166">
                  <c:v>44784</c:v>
                </c:pt>
                <c:pt idx="2167">
                  <c:v>44785</c:v>
                </c:pt>
                <c:pt idx="2168">
                  <c:v>44788</c:v>
                </c:pt>
                <c:pt idx="2169">
                  <c:v>44789</c:v>
                </c:pt>
                <c:pt idx="2170">
                  <c:v>44790</c:v>
                </c:pt>
                <c:pt idx="2171">
                  <c:v>44791</c:v>
                </c:pt>
                <c:pt idx="2172">
                  <c:v>44792</c:v>
                </c:pt>
                <c:pt idx="2173">
                  <c:v>44795</c:v>
                </c:pt>
                <c:pt idx="2174">
                  <c:v>44796</c:v>
                </c:pt>
                <c:pt idx="2175">
                  <c:v>44797</c:v>
                </c:pt>
                <c:pt idx="2176">
                  <c:v>44798</c:v>
                </c:pt>
                <c:pt idx="2177">
                  <c:v>44799</c:v>
                </c:pt>
                <c:pt idx="2178">
                  <c:v>44802</c:v>
                </c:pt>
                <c:pt idx="2179">
                  <c:v>44803</c:v>
                </c:pt>
                <c:pt idx="2180">
                  <c:v>44804</c:v>
                </c:pt>
                <c:pt idx="2181">
                  <c:v>44805</c:v>
                </c:pt>
                <c:pt idx="2182">
                  <c:v>44806</c:v>
                </c:pt>
                <c:pt idx="2183">
                  <c:v>44809</c:v>
                </c:pt>
                <c:pt idx="2184">
                  <c:v>44810</c:v>
                </c:pt>
                <c:pt idx="2185">
                  <c:v>44811</c:v>
                </c:pt>
                <c:pt idx="2186">
                  <c:v>44812</c:v>
                </c:pt>
                <c:pt idx="2187">
                  <c:v>44813</c:v>
                </c:pt>
                <c:pt idx="2188">
                  <c:v>44816</c:v>
                </c:pt>
                <c:pt idx="2189">
                  <c:v>44817</c:v>
                </c:pt>
                <c:pt idx="2190">
                  <c:v>44818</c:v>
                </c:pt>
                <c:pt idx="2191">
                  <c:v>44819</c:v>
                </c:pt>
                <c:pt idx="2192">
                  <c:v>44823</c:v>
                </c:pt>
                <c:pt idx="2193">
                  <c:v>44824</c:v>
                </c:pt>
                <c:pt idx="2194">
                  <c:v>44825</c:v>
                </c:pt>
                <c:pt idx="2195">
                  <c:v>44826</c:v>
                </c:pt>
                <c:pt idx="2196">
                  <c:v>44827</c:v>
                </c:pt>
                <c:pt idx="2197">
                  <c:v>44830</c:v>
                </c:pt>
                <c:pt idx="2198">
                  <c:v>44831</c:v>
                </c:pt>
                <c:pt idx="2199">
                  <c:v>44832</c:v>
                </c:pt>
                <c:pt idx="2200">
                  <c:v>44833</c:v>
                </c:pt>
                <c:pt idx="2201">
                  <c:v>44834</c:v>
                </c:pt>
                <c:pt idx="2202">
                  <c:v>44837</c:v>
                </c:pt>
                <c:pt idx="2203">
                  <c:v>44838</c:v>
                </c:pt>
                <c:pt idx="2204">
                  <c:v>44839</c:v>
                </c:pt>
                <c:pt idx="2205">
                  <c:v>44840</c:v>
                </c:pt>
                <c:pt idx="2206">
                  <c:v>44841</c:v>
                </c:pt>
                <c:pt idx="2207">
                  <c:v>44844</c:v>
                </c:pt>
                <c:pt idx="2208">
                  <c:v>44845</c:v>
                </c:pt>
                <c:pt idx="2209">
                  <c:v>44846</c:v>
                </c:pt>
                <c:pt idx="2210">
                  <c:v>44847</c:v>
                </c:pt>
                <c:pt idx="2211">
                  <c:v>44848</c:v>
                </c:pt>
                <c:pt idx="2212">
                  <c:v>44851</c:v>
                </c:pt>
                <c:pt idx="2213">
                  <c:v>44852</c:v>
                </c:pt>
                <c:pt idx="2214">
                  <c:v>44853</c:v>
                </c:pt>
                <c:pt idx="2215">
                  <c:v>44854</c:v>
                </c:pt>
                <c:pt idx="2216">
                  <c:v>44855</c:v>
                </c:pt>
                <c:pt idx="2217">
                  <c:v>44858</c:v>
                </c:pt>
                <c:pt idx="2218">
                  <c:v>44859</c:v>
                </c:pt>
                <c:pt idx="2219">
                  <c:v>44860</c:v>
                </c:pt>
                <c:pt idx="2220">
                  <c:v>44861</c:v>
                </c:pt>
                <c:pt idx="2221">
                  <c:v>44862</c:v>
                </c:pt>
                <c:pt idx="2222">
                  <c:v>44865</c:v>
                </c:pt>
                <c:pt idx="2223">
                  <c:v>44866</c:v>
                </c:pt>
                <c:pt idx="2224">
                  <c:v>44868</c:v>
                </c:pt>
                <c:pt idx="2225">
                  <c:v>44869</c:v>
                </c:pt>
                <c:pt idx="2226">
                  <c:v>44872</c:v>
                </c:pt>
                <c:pt idx="2227">
                  <c:v>44873</c:v>
                </c:pt>
                <c:pt idx="2228">
                  <c:v>44874</c:v>
                </c:pt>
                <c:pt idx="2229">
                  <c:v>44875</c:v>
                </c:pt>
                <c:pt idx="2230">
                  <c:v>44876</c:v>
                </c:pt>
                <c:pt idx="2231">
                  <c:v>44879</c:v>
                </c:pt>
                <c:pt idx="2232">
                  <c:v>44880</c:v>
                </c:pt>
                <c:pt idx="2233">
                  <c:v>44881</c:v>
                </c:pt>
                <c:pt idx="2234">
                  <c:v>44882</c:v>
                </c:pt>
                <c:pt idx="2235">
                  <c:v>44883</c:v>
                </c:pt>
                <c:pt idx="2236">
                  <c:v>44887</c:v>
                </c:pt>
                <c:pt idx="2237">
                  <c:v>44888</c:v>
                </c:pt>
                <c:pt idx="2238">
                  <c:v>44889</c:v>
                </c:pt>
                <c:pt idx="2239">
                  <c:v>44890</c:v>
                </c:pt>
                <c:pt idx="2240">
                  <c:v>44893</c:v>
                </c:pt>
                <c:pt idx="2241">
                  <c:v>44894</c:v>
                </c:pt>
                <c:pt idx="2242">
                  <c:v>44895</c:v>
                </c:pt>
                <c:pt idx="2243">
                  <c:v>44896</c:v>
                </c:pt>
                <c:pt idx="2244">
                  <c:v>44897</c:v>
                </c:pt>
                <c:pt idx="2245">
                  <c:v>44900</c:v>
                </c:pt>
                <c:pt idx="2246">
                  <c:v>44901</c:v>
                </c:pt>
                <c:pt idx="2247">
                  <c:v>44902</c:v>
                </c:pt>
                <c:pt idx="2248">
                  <c:v>44903</c:v>
                </c:pt>
                <c:pt idx="2249">
                  <c:v>44904</c:v>
                </c:pt>
                <c:pt idx="2250">
                  <c:v>44908</c:v>
                </c:pt>
                <c:pt idx="2251">
                  <c:v>44909</c:v>
                </c:pt>
                <c:pt idx="2252">
                  <c:v>44910</c:v>
                </c:pt>
                <c:pt idx="2253">
                  <c:v>44911</c:v>
                </c:pt>
                <c:pt idx="2254">
                  <c:v>44914</c:v>
                </c:pt>
                <c:pt idx="2255">
                  <c:v>44915</c:v>
                </c:pt>
                <c:pt idx="2256">
                  <c:v>44916</c:v>
                </c:pt>
                <c:pt idx="2257">
                  <c:v>44917</c:v>
                </c:pt>
                <c:pt idx="2258">
                  <c:v>44918</c:v>
                </c:pt>
                <c:pt idx="2259">
                  <c:v>44921</c:v>
                </c:pt>
                <c:pt idx="2260">
                  <c:v>44922</c:v>
                </c:pt>
                <c:pt idx="2261">
                  <c:v>44923</c:v>
                </c:pt>
                <c:pt idx="2262">
                  <c:v>44924</c:v>
                </c:pt>
                <c:pt idx="2263">
                  <c:v>44925</c:v>
                </c:pt>
                <c:pt idx="2264">
                  <c:v>44928</c:v>
                </c:pt>
                <c:pt idx="2265">
                  <c:v>44929</c:v>
                </c:pt>
                <c:pt idx="2266">
                  <c:v>44930</c:v>
                </c:pt>
                <c:pt idx="2267">
                  <c:v>44931</c:v>
                </c:pt>
                <c:pt idx="2268">
                  <c:v>44932</c:v>
                </c:pt>
                <c:pt idx="2269">
                  <c:v>44935</c:v>
                </c:pt>
                <c:pt idx="2270">
                  <c:v>44936</c:v>
                </c:pt>
                <c:pt idx="2271">
                  <c:v>44937</c:v>
                </c:pt>
                <c:pt idx="2272">
                  <c:v>44938</c:v>
                </c:pt>
                <c:pt idx="2273">
                  <c:v>44939</c:v>
                </c:pt>
                <c:pt idx="2274">
                  <c:v>44942</c:v>
                </c:pt>
                <c:pt idx="2275">
                  <c:v>44943</c:v>
                </c:pt>
                <c:pt idx="2276">
                  <c:v>44944</c:v>
                </c:pt>
                <c:pt idx="2277">
                  <c:v>44945</c:v>
                </c:pt>
                <c:pt idx="2278">
                  <c:v>44946</c:v>
                </c:pt>
                <c:pt idx="2279">
                  <c:v>44949</c:v>
                </c:pt>
                <c:pt idx="2280">
                  <c:v>44950</c:v>
                </c:pt>
                <c:pt idx="2281">
                  <c:v>44951</c:v>
                </c:pt>
                <c:pt idx="2282">
                  <c:v>44952</c:v>
                </c:pt>
                <c:pt idx="2283">
                  <c:v>44953</c:v>
                </c:pt>
                <c:pt idx="2284">
                  <c:v>44956</c:v>
                </c:pt>
                <c:pt idx="2285">
                  <c:v>44957</c:v>
                </c:pt>
                <c:pt idx="2286">
                  <c:v>44958</c:v>
                </c:pt>
                <c:pt idx="2287">
                  <c:v>44959</c:v>
                </c:pt>
                <c:pt idx="2288">
                  <c:v>44960</c:v>
                </c:pt>
                <c:pt idx="2289">
                  <c:v>44964</c:v>
                </c:pt>
                <c:pt idx="2290">
                  <c:v>44965</c:v>
                </c:pt>
                <c:pt idx="2291">
                  <c:v>44966</c:v>
                </c:pt>
                <c:pt idx="2292">
                  <c:v>44967</c:v>
                </c:pt>
                <c:pt idx="2293">
                  <c:v>44970</c:v>
                </c:pt>
                <c:pt idx="2294">
                  <c:v>44971</c:v>
                </c:pt>
                <c:pt idx="2295">
                  <c:v>44972</c:v>
                </c:pt>
                <c:pt idx="2296">
                  <c:v>44973</c:v>
                </c:pt>
                <c:pt idx="2297">
                  <c:v>44974</c:v>
                </c:pt>
                <c:pt idx="2298">
                  <c:v>44977</c:v>
                </c:pt>
                <c:pt idx="2299">
                  <c:v>44978</c:v>
                </c:pt>
                <c:pt idx="2300">
                  <c:v>44979</c:v>
                </c:pt>
                <c:pt idx="2301">
                  <c:v>44980</c:v>
                </c:pt>
                <c:pt idx="2302">
                  <c:v>44981</c:v>
                </c:pt>
                <c:pt idx="2303">
                  <c:v>44984</c:v>
                </c:pt>
                <c:pt idx="2304">
                  <c:v>44985</c:v>
                </c:pt>
                <c:pt idx="2305">
                  <c:v>44986</c:v>
                </c:pt>
                <c:pt idx="2306">
                  <c:v>44987</c:v>
                </c:pt>
                <c:pt idx="2307">
                  <c:v>44988</c:v>
                </c:pt>
                <c:pt idx="2308">
                  <c:v>44991</c:v>
                </c:pt>
                <c:pt idx="2309">
                  <c:v>44992</c:v>
                </c:pt>
                <c:pt idx="2310">
                  <c:v>44993</c:v>
                </c:pt>
                <c:pt idx="2311">
                  <c:v>44994</c:v>
                </c:pt>
                <c:pt idx="2312">
                  <c:v>44995</c:v>
                </c:pt>
                <c:pt idx="2313">
                  <c:v>44998</c:v>
                </c:pt>
                <c:pt idx="2314">
                  <c:v>44999</c:v>
                </c:pt>
                <c:pt idx="2315">
                  <c:v>45000</c:v>
                </c:pt>
                <c:pt idx="2316">
                  <c:v>45001</c:v>
                </c:pt>
                <c:pt idx="2317">
                  <c:v>45002</c:v>
                </c:pt>
                <c:pt idx="2318">
                  <c:v>45006</c:v>
                </c:pt>
                <c:pt idx="2319">
                  <c:v>45007</c:v>
                </c:pt>
                <c:pt idx="2320">
                  <c:v>45008</c:v>
                </c:pt>
                <c:pt idx="2321">
                  <c:v>45009</c:v>
                </c:pt>
                <c:pt idx="2322">
                  <c:v>45012</c:v>
                </c:pt>
                <c:pt idx="2323">
                  <c:v>45013</c:v>
                </c:pt>
                <c:pt idx="2324">
                  <c:v>45014</c:v>
                </c:pt>
                <c:pt idx="2325">
                  <c:v>45015</c:v>
                </c:pt>
                <c:pt idx="2326">
                  <c:v>45016</c:v>
                </c:pt>
                <c:pt idx="2327">
                  <c:v>45019</c:v>
                </c:pt>
                <c:pt idx="2328">
                  <c:v>45020</c:v>
                </c:pt>
                <c:pt idx="2329">
                  <c:v>45021</c:v>
                </c:pt>
                <c:pt idx="2330">
                  <c:v>45026</c:v>
                </c:pt>
                <c:pt idx="2331">
                  <c:v>45027</c:v>
                </c:pt>
                <c:pt idx="2332">
                  <c:v>45028</c:v>
                </c:pt>
                <c:pt idx="2333">
                  <c:v>45029</c:v>
                </c:pt>
                <c:pt idx="2334">
                  <c:v>45030</c:v>
                </c:pt>
                <c:pt idx="2335">
                  <c:v>45033</c:v>
                </c:pt>
                <c:pt idx="2336">
                  <c:v>45034</c:v>
                </c:pt>
                <c:pt idx="2337">
                  <c:v>45035</c:v>
                </c:pt>
                <c:pt idx="2338">
                  <c:v>45036</c:v>
                </c:pt>
                <c:pt idx="2339">
                  <c:v>45037</c:v>
                </c:pt>
                <c:pt idx="2340">
                  <c:v>45040</c:v>
                </c:pt>
                <c:pt idx="2341">
                  <c:v>45041</c:v>
                </c:pt>
                <c:pt idx="2342">
                  <c:v>45042</c:v>
                </c:pt>
                <c:pt idx="2343">
                  <c:v>45043</c:v>
                </c:pt>
                <c:pt idx="2344">
                  <c:v>45044</c:v>
                </c:pt>
                <c:pt idx="2345">
                  <c:v>45048</c:v>
                </c:pt>
                <c:pt idx="2346">
                  <c:v>45049</c:v>
                </c:pt>
                <c:pt idx="2347">
                  <c:v>45050</c:v>
                </c:pt>
                <c:pt idx="2348">
                  <c:v>45051</c:v>
                </c:pt>
                <c:pt idx="2349">
                  <c:v>45054</c:v>
                </c:pt>
                <c:pt idx="2350">
                  <c:v>45055</c:v>
                </c:pt>
                <c:pt idx="2351">
                  <c:v>45056</c:v>
                </c:pt>
                <c:pt idx="2352">
                  <c:v>45057</c:v>
                </c:pt>
                <c:pt idx="2353">
                  <c:v>45058</c:v>
                </c:pt>
                <c:pt idx="2354">
                  <c:v>45061</c:v>
                </c:pt>
                <c:pt idx="2355">
                  <c:v>45062</c:v>
                </c:pt>
                <c:pt idx="2356">
                  <c:v>45063</c:v>
                </c:pt>
                <c:pt idx="2357">
                  <c:v>45064</c:v>
                </c:pt>
                <c:pt idx="2358">
                  <c:v>45065</c:v>
                </c:pt>
                <c:pt idx="2359">
                  <c:v>45068</c:v>
                </c:pt>
                <c:pt idx="2360">
                  <c:v>45069</c:v>
                </c:pt>
                <c:pt idx="2361">
                  <c:v>45070</c:v>
                </c:pt>
                <c:pt idx="2362">
                  <c:v>45071</c:v>
                </c:pt>
                <c:pt idx="2363">
                  <c:v>45072</c:v>
                </c:pt>
                <c:pt idx="2364">
                  <c:v>45075</c:v>
                </c:pt>
                <c:pt idx="2365">
                  <c:v>45076</c:v>
                </c:pt>
                <c:pt idx="2366">
                  <c:v>45077</c:v>
                </c:pt>
                <c:pt idx="2367">
                  <c:v>45078</c:v>
                </c:pt>
                <c:pt idx="2368">
                  <c:v>45079</c:v>
                </c:pt>
                <c:pt idx="2369">
                  <c:v>45082</c:v>
                </c:pt>
                <c:pt idx="2370">
                  <c:v>45083</c:v>
                </c:pt>
                <c:pt idx="2371">
                  <c:v>45084</c:v>
                </c:pt>
                <c:pt idx="2372">
                  <c:v>45085</c:v>
                </c:pt>
                <c:pt idx="2373">
                  <c:v>45086</c:v>
                </c:pt>
                <c:pt idx="2374">
                  <c:v>45089</c:v>
                </c:pt>
                <c:pt idx="2375">
                  <c:v>45090</c:v>
                </c:pt>
                <c:pt idx="2376">
                  <c:v>45091</c:v>
                </c:pt>
                <c:pt idx="2377">
                  <c:v>45092</c:v>
                </c:pt>
                <c:pt idx="2378">
                  <c:v>45093</c:v>
                </c:pt>
                <c:pt idx="2379">
                  <c:v>45096</c:v>
                </c:pt>
                <c:pt idx="2380">
                  <c:v>45097</c:v>
                </c:pt>
                <c:pt idx="2381">
                  <c:v>45098</c:v>
                </c:pt>
                <c:pt idx="2382">
                  <c:v>45099</c:v>
                </c:pt>
                <c:pt idx="2383">
                  <c:v>45100</c:v>
                </c:pt>
                <c:pt idx="2384">
                  <c:v>45103</c:v>
                </c:pt>
                <c:pt idx="2385">
                  <c:v>45104</c:v>
                </c:pt>
                <c:pt idx="2386">
                  <c:v>45105</c:v>
                </c:pt>
                <c:pt idx="2387">
                  <c:v>45106</c:v>
                </c:pt>
                <c:pt idx="2388">
                  <c:v>45107</c:v>
                </c:pt>
                <c:pt idx="2389">
                  <c:v>45110</c:v>
                </c:pt>
                <c:pt idx="2390">
                  <c:v>45111</c:v>
                </c:pt>
                <c:pt idx="2391">
                  <c:v>45112</c:v>
                </c:pt>
                <c:pt idx="2392">
                  <c:v>45113</c:v>
                </c:pt>
                <c:pt idx="2393">
                  <c:v>45114</c:v>
                </c:pt>
                <c:pt idx="2394">
                  <c:v>45117</c:v>
                </c:pt>
                <c:pt idx="2395">
                  <c:v>45118</c:v>
                </c:pt>
                <c:pt idx="2396">
                  <c:v>45119</c:v>
                </c:pt>
                <c:pt idx="2397">
                  <c:v>45120</c:v>
                </c:pt>
                <c:pt idx="2398">
                  <c:v>45121</c:v>
                </c:pt>
                <c:pt idx="2399">
                  <c:v>45124</c:v>
                </c:pt>
                <c:pt idx="2400">
                  <c:v>45125</c:v>
                </c:pt>
                <c:pt idx="2401">
                  <c:v>45126</c:v>
                </c:pt>
                <c:pt idx="2402">
                  <c:v>45127</c:v>
                </c:pt>
                <c:pt idx="2403">
                  <c:v>45128</c:v>
                </c:pt>
                <c:pt idx="2404">
                  <c:v>45131</c:v>
                </c:pt>
                <c:pt idx="2405">
                  <c:v>45132</c:v>
                </c:pt>
                <c:pt idx="2406">
                  <c:v>45133</c:v>
                </c:pt>
                <c:pt idx="2407">
                  <c:v>45134</c:v>
                </c:pt>
                <c:pt idx="2408">
                  <c:v>45135</c:v>
                </c:pt>
                <c:pt idx="2409">
                  <c:v>45138</c:v>
                </c:pt>
                <c:pt idx="2410">
                  <c:v>45139</c:v>
                </c:pt>
                <c:pt idx="2411">
                  <c:v>45140</c:v>
                </c:pt>
                <c:pt idx="2412">
                  <c:v>45141</c:v>
                </c:pt>
                <c:pt idx="2413">
                  <c:v>45142</c:v>
                </c:pt>
                <c:pt idx="2414">
                  <c:v>45145</c:v>
                </c:pt>
                <c:pt idx="2415">
                  <c:v>45146</c:v>
                </c:pt>
                <c:pt idx="2416">
                  <c:v>45147</c:v>
                </c:pt>
                <c:pt idx="2417">
                  <c:v>45148</c:v>
                </c:pt>
                <c:pt idx="2418">
                  <c:v>45149</c:v>
                </c:pt>
                <c:pt idx="2419">
                  <c:v>45152</c:v>
                </c:pt>
                <c:pt idx="2420">
                  <c:v>45153</c:v>
                </c:pt>
                <c:pt idx="2421">
                  <c:v>45154</c:v>
                </c:pt>
                <c:pt idx="2422">
                  <c:v>45155</c:v>
                </c:pt>
                <c:pt idx="2423">
                  <c:v>45156</c:v>
                </c:pt>
                <c:pt idx="2424">
                  <c:v>45159</c:v>
                </c:pt>
                <c:pt idx="2425">
                  <c:v>45160</c:v>
                </c:pt>
                <c:pt idx="2426">
                  <c:v>45161</c:v>
                </c:pt>
                <c:pt idx="2427">
                  <c:v>45162</c:v>
                </c:pt>
                <c:pt idx="2428">
                  <c:v>45163</c:v>
                </c:pt>
                <c:pt idx="2429">
                  <c:v>45166</c:v>
                </c:pt>
                <c:pt idx="2430">
                  <c:v>45167</c:v>
                </c:pt>
                <c:pt idx="2431">
                  <c:v>45168</c:v>
                </c:pt>
                <c:pt idx="2432">
                  <c:v>45169</c:v>
                </c:pt>
                <c:pt idx="2433">
                  <c:v>45170</c:v>
                </c:pt>
                <c:pt idx="2434">
                  <c:v>45173</c:v>
                </c:pt>
                <c:pt idx="2435">
                  <c:v>45174</c:v>
                </c:pt>
                <c:pt idx="2436">
                  <c:v>45175</c:v>
                </c:pt>
                <c:pt idx="2437">
                  <c:v>45176</c:v>
                </c:pt>
                <c:pt idx="2438">
                  <c:v>45177</c:v>
                </c:pt>
                <c:pt idx="2439">
                  <c:v>45180</c:v>
                </c:pt>
                <c:pt idx="2440">
                  <c:v>45181</c:v>
                </c:pt>
                <c:pt idx="2441">
                  <c:v>45182</c:v>
                </c:pt>
                <c:pt idx="2442">
                  <c:v>45183</c:v>
                </c:pt>
                <c:pt idx="2443">
                  <c:v>45184</c:v>
                </c:pt>
                <c:pt idx="2444">
                  <c:v>45187</c:v>
                </c:pt>
                <c:pt idx="2445">
                  <c:v>45188</c:v>
                </c:pt>
                <c:pt idx="2446">
                  <c:v>45189</c:v>
                </c:pt>
                <c:pt idx="2447">
                  <c:v>45190</c:v>
                </c:pt>
                <c:pt idx="2448">
                  <c:v>45191</c:v>
                </c:pt>
                <c:pt idx="2449">
                  <c:v>45194</c:v>
                </c:pt>
                <c:pt idx="2450">
                  <c:v>45195</c:v>
                </c:pt>
                <c:pt idx="2451">
                  <c:v>45196</c:v>
                </c:pt>
                <c:pt idx="2452">
                  <c:v>45197</c:v>
                </c:pt>
                <c:pt idx="2453">
                  <c:v>45198</c:v>
                </c:pt>
                <c:pt idx="2454">
                  <c:v>45201</c:v>
                </c:pt>
                <c:pt idx="2455">
                  <c:v>45202</c:v>
                </c:pt>
                <c:pt idx="2456">
                  <c:v>45203</c:v>
                </c:pt>
                <c:pt idx="2457">
                  <c:v>45204</c:v>
                </c:pt>
                <c:pt idx="2458">
                  <c:v>45205</c:v>
                </c:pt>
                <c:pt idx="2459">
                  <c:v>45208</c:v>
                </c:pt>
                <c:pt idx="2460">
                  <c:v>45209</c:v>
                </c:pt>
                <c:pt idx="2461">
                  <c:v>45210</c:v>
                </c:pt>
                <c:pt idx="2462">
                  <c:v>45211</c:v>
                </c:pt>
                <c:pt idx="2463">
                  <c:v>45212</c:v>
                </c:pt>
                <c:pt idx="2464">
                  <c:v>45215</c:v>
                </c:pt>
                <c:pt idx="2465">
                  <c:v>45216</c:v>
                </c:pt>
                <c:pt idx="2466">
                  <c:v>45217</c:v>
                </c:pt>
                <c:pt idx="2467">
                  <c:v>45218</c:v>
                </c:pt>
                <c:pt idx="2468">
                  <c:v>45219</c:v>
                </c:pt>
                <c:pt idx="2469">
                  <c:v>45222</c:v>
                </c:pt>
                <c:pt idx="2470">
                  <c:v>45223</c:v>
                </c:pt>
                <c:pt idx="2471">
                  <c:v>45224</c:v>
                </c:pt>
                <c:pt idx="2472">
                  <c:v>45225</c:v>
                </c:pt>
                <c:pt idx="2473">
                  <c:v>45226</c:v>
                </c:pt>
                <c:pt idx="2474">
                  <c:v>45229</c:v>
                </c:pt>
                <c:pt idx="2475">
                  <c:v>45230</c:v>
                </c:pt>
                <c:pt idx="2476">
                  <c:v>45231</c:v>
                </c:pt>
                <c:pt idx="2477">
                  <c:v>45233</c:v>
                </c:pt>
                <c:pt idx="2478">
                  <c:v>45236</c:v>
                </c:pt>
                <c:pt idx="2479">
                  <c:v>45237</c:v>
                </c:pt>
                <c:pt idx="2480">
                  <c:v>45238</c:v>
                </c:pt>
                <c:pt idx="2481">
                  <c:v>45239</c:v>
                </c:pt>
                <c:pt idx="2482">
                  <c:v>45240</c:v>
                </c:pt>
                <c:pt idx="2483">
                  <c:v>45243</c:v>
                </c:pt>
                <c:pt idx="2484">
                  <c:v>45244</c:v>
                </c:pt>
                <c:pt idx="2485">
                  <c:v>45245</c:v>
                </c:pt>
                <c:pt idx="2486">
                  <c:v>45246</c:v>
                </c:pt>
                <c:pt idx="2487">
                  <c:v>45247</c:v>
                </c:pt>
                <c:pt idx="2488">
                  <c:v>45251</c:v>
                </c:pt>
                <c:pt idx="2489">
                  <c:v>45252</c:v>
                </c:pt>
                <c:pt idx="2490">
                  <c:v>45253</c:v>
                </c:pt>
                <c:pt idx="2491">
                  <c:v>45254</c:v>
                </c:pt>
                <c:pt idx="2492">
                  <c:v>45257</c:v>
                </c:pt>
                <c:pt idx="2493">
                  <c:v>45258</c:v>
                </c:pt>
                <c:pt idx="2494">
                  <c:v>45259</c:v>
                </c:pt>
                <c:pt idx="2495">
                  <c:v>45260</c:v>
                </c:pt>
                <c:pt idx="2496">
                  <c:v>45261</c:v>
                </c:pt>
                <c:pt idx="2497">
                  <c:v>45264</c:v>
                </c:pt>
                <c:pt idx="2498">
                  <c:v>45265</c:v>
                </c:pt>
                <c:pt idx="2499">
                  <c:v>45266</c:v>
                </c:pt>
                <c:pt idx="2500">
                  <c:v>45267</c:v>
                </c:pt>
                <c:pt idx="2501">
                  <c:v>45268</c:v>
                </c:pt>
                <c:pt idx="2502">
                  <c:v>45271</c:v>
                </c:pt>
                <c:pt idx="2503">
                  <c:v>45273</c:v>
                </c:pt>
                <c:pt idx="2504">
                  <c:v>45274</c:v>
                </c:pt>
                <c:pt idx="2505">
                  <c:v>45275</c:v>
                </c:pt>
                <c:pt idx="2506">
                  <c:v>45278</c:v>
                </c:pt>
                <c:pt idx="2507">
                  <c:v>45279</c:v>
                </c:pt>
                <c:pt idx="2508">
                  <c:v>45280</c:v>
                </c:pt>
                <c:pt idx="2509">
                  <c:v>45281</c:v>
                </c:pt>
                <c:pt idx="2510">
                  <c:v>45282</c:v>
                </c:pt>
                <c:pt idx="2511">
                  <c:v>45286</c:v>
                </c:pt>
                <c:pt idx="2512">
                  <c:v>45287</c:v>
                </c:pt>
                <c:pt idx="2513">
                  <c:v>45288</c:v>
                </c:pt>
                <c:pt idx="2514">
                  <c:v>45289</c:v>
                </c:pt>
                <c:pt idx="2515">
                  <c:v>45293</c:v>
                </c:pt>
                <c:pt idx="2516">
                  <c:v>45294</c:v>
                </c:pt>
                <c:pt idx="2517">
                  <c:v>45295</c:v>
                </c:pt>
                <c:pt idx="2518">
                  <c:v>45296</c:v>
                </c:pt>
                <c:pt idx="2519">
                  <c:v>45299</c:v>
                </c:pt>
                <c:pt idx="2520">
                  <c:v>45300</c:v>
                </c:pt>
                <c:pt idx="2521">
                  <c:v>45301</c:v>
                </c:pt>
                <c:pt idx="2522">
                  <c:v>45302</c:v>
                </c:pt>
                <c:pt idx="2523">
                  <c:v>45303</c:v>
                </c:pt>
                <c:pt idx="2524">
                  <c:v>45306</c:v>
                </c:pt>
                <c:pt idx="2525">
                  <c:v>45307</c:v>
                </c:pt>
                <c:pt idx="2526">
                  <c:v>45308</c:v>
                </c:pt>
                <c:pt idx="2527">
                  <c:v>45309</c:v>
                </c:pt>
                <c:pt idx="2528">
                  <c:v>45310</c:v>
                </c:pt>
                <c:pt idx="2529">
                  <c:v>45313</c:v>
                </c:pt>
                <c:pt idx="2530">
                  <c:v>45314</c:v>
                </c:pt>
                <c:pt idx="2531">
                  <c:v>45315</c:v>
                </c:pt>
                <c:pt idx="2532">
                  <c:v>45316</c:v>
                </c:pt>
                <c:pt idx="2533">
                  <c:v>45317</c:v>
                </c:pt>
                <c:pt idx="2534">
                  <c:v>45320</c:v>
                </c:pt>
                <c:pt idx="2535">
                  <c:v>45321</c:v>
                </c:pt>
                <c:pt idx="2536">
                  <c:v>45322</c:v>
                </c:pt>
                <c:pt idx="2537">
                  <c:v>45323</c:v>
                </c:pt>
                <c:pt idx="2538">
                  <c:v>45324</c:v>
                </c:pt>
                <c:pt idx="2539">
                  <c:v>45328</c:v>
                </c:pt>
                <c:pt idx="2540">
                  <c:v>45329</c:v>
                </c:pt>
                <c:pt idx="2541">
                  <c:v>45330</c:v>
                </c:pt>
                <c:pt idx="2542">
                  <c:v>45331</c:v>
                </c:pt>
                <c:pt idx="2543">
                  <c:v>45334</c:v>
                </c:pt>
                <c:pt idx="2544">
                  <c:v>45335</c:v>
                </c:pt>
                <c:pt idx="2545">
                  <c:v>45336</c:v>
                </c:pt>
                <c:pt idx="2546">
                  <c:v>45337</c:v>
                </c:pt>
                <c:pt idx="2547">
                  <c:v>45338</c:v>
                </c:pt>
                <c:pt idx="2548">
                  <c:v>45341</c:v>
                </c:pt>
                <c:pt idx="2549">
                  <c:v>45342</c:v>
                </c:pt>
                <c:pt idx="2550">
                  <c:v>45343</c:v>
                </c:pt>
                <c:pt idx="2551">
                  <c:v>45344</c:v>
                </c:pt>
                <c:pt idx="2552">
                  <c:v>45345</c:v>
                </c:pt>
                <c:pt idx="2553">
                  <c:v>45348</c:v>
                </c:pt>
                <c:pt idx="2554">
                  <c:v>45349</c:v>
                </c:pt>
                <c:pt idx="2555">
                  <c:v>45350</c:v>
                </c:pt>
                <c:pt idx="2556">
                  <c:v>45351</c:v>
                </c:pt>
                <c:pt idx="2557">
                  <c:v>45352</c:v>
                </c:pt>
                <c:pt idx="2558">
                  <c:v>45355</c:v>
                </c:pt>
                <c:pt idx="2559">
                  <c:v>45356</c:v>
                </c:pt>
                <c:pt idx="2560">
                  <c:v>45357</c:v>
                </c:pt>
                <c:pt idx="2561">
                  <c:v>45358</c:v>
                </c:pt>
                <c:pt idx="2562">
                  <c:v>45359</c:v>
                </c:pt>
                <c:pt idx="2563">
                  <c:v>45362</c:v>
                </c:pt>
                <c:pt idx="2564">
                  <c:v>45363</c:v>
                </c:pt>
                <c:pt idx="2565">
                  <c:v>45364</c:v>
                </c:pt>
                <c:pt idx="2566">
                  <c:v>45365</c:v>
                </c:pt>
                <c:pt idx="2567">
                  <c:v>45366</c:v>
                </c:pt>
                <c:pt idx="2568">
                  <c:v>45370</c:v>
                </c:pt>
                <c:pt idx="2569">
                  <c:v>45371</c:v>
                </c:pt>
                <c:pt idx="2570">
                  <c:v>45372</c:v>
                </c:pt>
                <c:pt idx="2571">
                  <c:v>45373</c:v>
                </c:pt>
                <c:pt idx="2572">
                  <c:v>45376</c:v>
                </c:pt>
                <c:pt idx="2573">
                  <c:v>45377</c:v>
                </c:pt>
                <c:pt idx="2574">
                  <c:v>45378</c:v>
                </c:pt>
                <c:pt idx="2575">
                  <c:v>45383</c:v>
                </c:pt>
                <c:pt idx="2576">
                  <c:v>45384</c:v>
                </c:pt>
                <c:pt idx="2577">
                  <c:v>45385</c:v>
                </c:pt>
                <c:pt idx="2578">
                  <c:v>45386</c:v>
                </c:pt>
                <c:pt idx="2579">
                  <c:v>45387</c:v>
                </c:pt>
                <c:pt idx="2580">
                  <c:v>45390</c:v>
                </c:pt>
                <c:pt idx="2581">
                  <c:v>45391</c:v>
                </c:pt>
                <c:pt idx="2582">
                  <c:v>45392</c:v>
                </c:pt>
                <c:pt idx="2583">
                  <c:v>45393</c:v>
                </c:pt>
                <c:pt idx="2584">
                  <c:v>45394</c:v>
                </c:pt>
                <c:pt idx="2585">
                  <c:v>45397</c:v>
                </c:pt>
                <c:pt idx="2586">
                  <c:v>45398</c:v>
                </c:pt>
                <c:pt idx="2587">
                  <c:v>45399</c:v>
                </c:pt>
                <c:pt idx="2588">
                  <c:v>45400</c:v>
                </c:pt>
                <c:pt idx="2589">
                  <c:v>45401</c:v>
                </c:pt>
                <c:pt idx="2590">
                  <c:v>45404</c:v>
                </c:pt>
                <c:pt idx="2591">
                  <c:v>45405</c:v>
                </c:pt>
                <c:pt idx="2592">
                  <c:v>45406</c:v>
                </c:pt>
                <c:pt idx="2593">
                  <c:v>45407</c:v>
                </c:pt>
                <c:pt idx="2594">
                  <c:v>45408</c:v>
                </c:pt>
                <c:pt idx="2595">
                  <c:v>45411</c:v>
                </c:pt>
                <c:pt idx="2596">
                  <c:v>45412</c:v>
                </c:pt>
                <c:pt idx="2597">
                  <c:v>45414</c:v>
                </c:pt>
                <c:pt idx="2598">
                  <c:v>45415</c:v>
                </c:pt>
                <c:pt idx="2599">
                  <c:v>45418</c:v>
                </c:pt>
                <c:pt idx="2600">
                  <c:v>45419</c:v>
                </c:pt>
                <c:pt idx="2601">
                  <c:v>45420</c:v>
                </c:pt>
                <c:pt idx="2602">
                  <c:v>45421</c:v>
                </c:pt>
                <c:pt idx="2603">
                  <c:v>45422</c:v>
                </c:pt>
                <c:pt idx="2604">
                  <c:v>45425</c:v>
                </c:pt>
                <c:pt idx="2605">
                  <c:v>45426</c:v>
                </c:pt>
                <c:pt idx="2606">
                  <c:v>45427</c:v>
                </c:pt>
                <c:pt idx="2607">
                  <c:v>45428</c:v>
                </c:pt>
                <c:pt idx="2608">
                  <c:v>45429</c:v>
                </c:pt>
                <c:pt idx="2609">
                  <c:v>45432</c:v>
                </c:pt>
                <c:pt idx="2610">
                  <c:v>45433</c:v>
                </c:pt>
                <c:pt idx="2611">
                  <c:v>45434</c:v>
                </c:pt>
                <c:pt idx="2612">
                  <c:v>45435</c:v>
                </c:pt>
                <c:pt idx="2613">
                  <c:v>45436</c:v>
                </c:pt>
                <c:pt idx="2614">
                  <c:v>45439</c:v>
                </c:pt>
                <c:pt idx="2615">
                  <c:v>45440</c:v>
                </c:pt>
                <c:pt idx="2616">
                  <c:v>45441</c:v>
                </c:pt>
                <c:pt idx="2617">
                  <c:v>45442</c:v>
                </c:pt>
                <c:pt idx="2618">
                  <c:v>45443</c:v>
                </c:pt>
                <c:pt idx="2619">
                  <c:v>45446</c:v>
                </c:pt>
                <c:pt idx="2620">
                  <c:v>45447</c:v>
                </c:pt>
                <c:pt idx="2621">
                  <c:v>45448</c:v>
                </c:pt>
                <c:pt idx="2622">
                  <c:v>45449</c:v>
                </c:pt>
                <c:pt idx="2623">
                  <c:v>45450</c:v>
                </c:pt>
                <c:pt idx="2624">
                  <c:v>45453</c:v>
                </c:pt>
                <c:pt idx="2625">
                  <c:v>45454</c:v>
                </c:pt>
                <c:pt idx="2626">
                  <c:v>45455</c:v>
                </c:pt>
                <c:pt idx="2627">
                  <c:v>45456</c:v>
                </c:pt>
                <c:pt idx="2628">
                  <c:v>45457</c:v>
                </c:pt>
                <c:pt idx="2629">
                  <c:v>45460</c:v>
                </c:pt>
                <c:pt idx="2630">
                  <c:v>45461</c:v>
                </c:pt>
                <c:pt idx="2631">
                  <c:v>45462</c:v>
                </c:pt>
                <c:pt idx="2632">
                  <c:v>45463</c:v>
                </c:pt>
                <c:pt idx="2633">
                  <c:v>45464</c:v>
                </c:pt>
                <c:pt idx="2634">
                  <c:v>45467</c:v>
                </c:pt>
                <c:pt idx="2635">
                  <c:v>45468</c:v>
                </c:pt>
                <c:pt idx="2636">
                  <c:v>45469</c:v>
                </c:pt>
                <c:pt idx="2637">
                  <c:v>45470</c:v>
                </c:pt>
                <c:pt idx="2638">
                  <c:v>45471</c:v>
                </c:pt>
                <c:pt idx="2639">
                  <c:v>45474</c:v>
                </c:pt>
                <c:pt idx="2640">
                  <c:v>45475</c:v>
                </c:pt>
                <c:pt idx="2641">
                  <c:v>45476</c:v>
                </c:pt>
                <c:pt idx="2642">
                  <c:v>45477</c:v>
                </c:pt>
                <c:pt idx="2643">
                  <c:v>45478</c:v>
                </c:pt>
                <c:pt idx="2644">
                  <c:v>45481</c:v>
                </c:pt>
                <c:pt idx="2645">
                  <c:v>45482</c:v>
                </c:pt>
                <c:pt idx="2646">
                  <c:v>45483</c:v>
                </c:pt>
                <c:pt idx="2647">
                  <c:v>45484</c:v>
                </c:pt>
                <c:pt idx="2648">
                  <c:v>45485</c:v>
                </c:pt>
                <c:pt idx="2649">
                  <c:v>45488</c:v>
                </c:pt>
                <c:pt idx="2650">
                  <c:v>45489</c:v>
                </c:pt>
                <c:pt idx="2651">
                  <c:v>45490</c:v>
                </c:pt>
                <c:pt idx="2652">
                  <c:v>45491</c:v>
                </c:pt>
                <c:pt idx="2653">
                  <c:v>45492</c:v>
                </c:pt>
                <c:pt idx="2654">
                  <c:v>45495</c:v>
                </c:pt>
                <c:pt idx="2655">
                  <c:v>45496</c:v>
                </c:pt>
                <c:pt idx="2656">
                  <c:v>45497</c:v>
                </c:pt>
                <c:pt idx="2657">
                  <c:v>45498</c:v>
                </c:pt>
                <c:pt idx="2658">
                  <c:v>45499</c:v>
                </c:pt>
                <c:pt idx="2659">
                  <c:v>45502</c:v>
                </c:pt>
                <c:pt idx="2660">
                  <c:v>45503</c:v>
                </c:pt>
                <c:pt idx="2661">
                  <c:v>45504</c:v>
                </c:pt>
                <c:pt idx="2662">
                  <c:v>45505</c:v>
                </c:pt>
                <c:pt idx="2663">
                  <c:v>45506</c:v>
                </c:pt>
                <c:pt idx="2664">
                  <c:v>45509</c:v>
                </c:pt>
                <c:pt idx="2665">
                  <c:v>45510</c:v>
                </c:pt>
                <c:pt idx="2666">
                  <c:v>45511</c:v>
                </c:pt>
                <c:pt idx="2667">
                  <c:v>45512</c:v>
                </c:pt>
                <c:pt idx="2668">
                  <c:v>45513</c:v>
                </c:pt>
                <c:pt idx="2669">
                  <c:v>45516</c:v>
                </c:pt>
                <c:pt idx="2670">
                  <c:v>45517</c:v>
                </c:pt>
                <c:pt idx="2671">
                  <c:v>45518</c:v>
                </c:pt>
                <c:pt idx="2672">
                  <c:v>45519</c:v>
                </c:pt>
                <c:pt idx="2673">
                  <c:v>45520</c:v>
                </c:pt>
                <c:pt idx="2674">
                  <c:v>45523</c:v>
                </c:pt>
                <c:pt idx="2675">
                  <c:v>45524</c:v>
                </c:pt>
                <c:pt idx="2676">
                  <c:v>45525</c:v>
                </c:pt>
                <c:pt idx="2677">
                  <c:v>45526</c:v>
                </c:pt>
                <c:pt idx="2678">
                  <c:v>45527</c:v>
                </c:pt>
                <c:pt idx="2679">
                  <c:v>45530</c:v>
                </c:pt>
                <c:pt idx="2680">
                  <c:v>45531</c:v>
                </c:pt>
                <c:pt idx="2681">
                  <c:v>45532</c:v>
                </c:pt>
                <c:pt idx="2682">
                  <c:v>45533</c:v>
                </c:pt>
                <c:pt idx="2683">
                  <c:v>45534</c:v>
                </c:pt>
                <c:pt idx="2684">
                  <c:v>45537</c:v>
                </c:pt>
                <c:pt idx="2685">
                  <c:v>45538</c:v>
                </c:pt>
                <c:pt idx="2686">
                  <c:v>45539</c:v>
                </c:pt>
                <c:pt idx="2687">
                  <c:v>45540</c:v>
                </c:pt>
                <c:pt idx="2688">
                  <c:v>45541</c:v>
                </c:pt>
                <c:pt idx="2689">
                  <c:v>45544</c:v>
                </c:pt>
                <c:pt idx="2690">
                  <c:v>45545</c:v>
                </c:pt>
                <c:pt idx="2691">
                  <c:v>45546</c:v>
                </c:pt>
                <c:pt idx="2692">
                  <c:v>45547</c:v>
                </c:pt>
                <c:pt idx="2693">
                  <c:v>45548</c:v>
                </c:pt>
                <c:pt idx="2694">
                  <c:v>45552</c:v>
                </c:pt>
                <c:pt idx="2695">
                  <c:v>45553</c:v>
                </c:pt>
                <c:pt idx="2696">
                  <c:v>45554</c:v>
                </c:pt>
                <c:pt idx="2697">
                  <c:v>45555</c:v>
                </c:pt>
                <c:pt idx="2698">
                  <c:v>45558</c:v>
                </c:pt>
                <c:pt idx="2699">
                  <c:v>45559</c:v>
                </c:pt>
                <c:pt idx="2700">
                  <c:v>45560</c:v>
                </c:pt>
                <c:pt idx="2701">
                  <c:v>45561</c:v>
                </c:pt>
                <c:pt idx="2702">
                  <c:v>45562</c:v>
                </c:pt>
                <c:pt idx="2703">
                  <c:v>45565</c:v>
                </c:pt>
                <c:pt idx="2704">
                  <c:v>45567</c:v>
                </c:pt>
                <c:pt idx="2705">
                  <c:v>45568</c:v>
                </c:pt>
                <c:pt idx="2706">
                  <c:v>45569</c:v>
                </c:pt>
                <c:pt idx="2707">
                  <c:v>45572</c:v>
                </c:pt>
                <c:pt idx="2708">
                  <c:v>45573</c:v>
                </c:pt>
                <c:pt idx="2709">
                  <c:v>45574</c:v>
                </c:pt>
                <c:pt idx="2710">
                  <c:v>45575</c:v>
                </c:pt>
                <c:pt idx="2711">
                  <c:v>45576</c:v>
                </c:pt>
                <c:pt idx="2712">
                  <c:v>45579</c:v>
                </c:pt>
                <c:pt idx="2713">
                  <c:v>45580</c:v>
                </c:pt>
                <c:pt idx="2714">
                  <c:v>45581</c:v>
                </c:pt>
                <c:pt idx="2715">
                  <c:v>45582</c:v>
                </c:pt>
                <c:pt idx="2716">
                  <c:v>45583</c:v>
                </c:pt>
                <c:pt idx="2717">
                  <c:v>45586</c:v>
                </c:pt>
                <c:pt idx="2718">
                  <c:v>45587</c:v>
                </c:pt>
                <c:pt idx="2719">
                  <c:v>45588</c:v>
                </c:pt>
                <c:pt idx="2720">
                  <c:v>45589</c:v>
                </c:pt>
                <c:pt idx="2721">
                  <c:v>45590</c:v>
                </c:pt>
                <c:pt idx="2722">
                  <c:v>45593</c:v>
                </c:pt>
                <c:pt idx="2723">
                  <c:v>45594</c:v>
                </c:pt>
                <c:pt idx="2724">
                  <c:v>45595</c:v>
                </c:pt>
                <c:pt idx="2725">
                  <c:v>45596</c:v>
                </c:pt>
                <c:pt idx="2726">
                  <c:v>45597</c:v>
                </c:pt>
                <c:pt idx="2727">
                  <c:v>45600</c:v>
                </c:pt>
                <c:pt idx="2728">
                  <c:v>45601</c:v>
                </c:pt>
                <c:pt idx="2729">
                  <c:v>45602</c:v>
                </c:pt>
                <c:pt idx="2730">
                  <c:v>45603</c:v>
                </c:pt>
                <c:pt idx="2731">
                  <c:v>45604</c:v>
                </c:pt>
                <c:pt idx="2732">
                  <c:v>45607</c:v>
                </c:pt>
                <c:pt idx="2733">
                  <c:v>45608</c:v>
                </c:pt>
                <c:pt idx="2734">
                  <c:v>45609</c:v>
                </c:pt>
                <c:pt idx="2735">
                  <c:v>45610</c:v>
                </c:pt>
                <c:pt idx="2736">
                  <c:v>45611</c:v>
                </c:pt>
                <c:pt idx="2737">
                  <c:v>45615</c:v>
                </c:pt>
                <c:pt idx="2738">
                  <c:v>45616</c:v>
                </c:pt>
                <c:pt idx="2739">
                  <c:v>45617</c:v>
                </c:pt>
                <c:pt idx="2740">
                  <c:v>45618</c:v>
                </c:pt>
                <c:pt idx="2741">
                  <c:v>45621</c:v>
                </c:pt>
                <c:pt idx="2742">
                  <c:v>45622</c:v>
                </c:pt>
                <c:pt idx="2743">
                  <c:v>45623</c:v>
                </c:pt>
                <c:pt idx="2744">
                  <c:v>45624</c:v>
                </c:pt>
                <c:pt idx="2745">
                  <c:v>45625</c:v>
                </c:pt>
                <c:pt idx="2746">
                  <c:v>45628</c:v>
                </c:pt>
                <c:pt idx="2747">
                  <c:v>45629</c:v>
                </c:pt>
                <c:pt idx="2748">
                  <c:v>45630</c:v>
                </c:pt>
                <c:pt idx="2749">
                  <c:v>45631</c:v>
                </c:pt>
                <c:pt idx="2750">
                  <c:v>45632</c:v>
                </c:pt>
                <c:pt idx="2751">
                  <c:v>45635</c:v>
                </c:pt>
                <c:pt idx="2752">
                  <c:v>45636</c:v>
                </c:pt>
                <c:pt idx="2753">
                  <c:v>45637</c:v>
                </c:pt>
                <c:pt idx="2754">
                  <c:v>45639</c:v>
                </c:pt>
                <c:pt idx="2755">
                  <c:v>45642</c:v>
                </c:pt>
                <c:pt idx="2756">
                  <c:v>45643</c:v>
                </c:pt>
                <c:pt idx="2757">
                  <c:v>45644</c:v>
                </c:pt>
                <c:pt idx="2758">
                  <c:v>45645</c:v>
                </c:pt>
                <c:pt idx="2759">
                  <c:v>45646</c:v>
                </c:pt>
                <c:pt idx="2760">
                  <c:v>45649</c:v>
                </c:pt>
                <c:pt idx="2761">
                  <c:v>45650</c:v>
                </c:pt>
                <c:pt idx="2762">
                  <c:v>45652</c:v>
                </c:pt>
                <c:pt idx="2763">
                  <c:v>45653</c:v>
                </c:pt>
                <c:pt idx="2764">
                  <c:v>45656</c:v>
                </c:pt>
                <c:pt idx="2765">
                  <c:v>45657</c:v>
                </c:pt>
              </c:numCache>
            </c:numRef>
          </c:xVal>
          <c:yVal>
            <c:numRef>
              <c:f>'TIIE '!$B$19:$B$2784</c:f>
              <c:numCache>
                <c:formatCode>#,##0.0000</c:formatCode>
                <c:ptCount val="2766"/>
                <c:pt idx="0">
                  <c:v>3.7949999999999999</c:v>
                </c:pt>
                <c:pt idx="1">
                  <c:v>3.7949999999999999</c:v>
                </c:pt>
                <c:pt idx="2">
                  <c:v>3.7925</c:v>
                </c:pt>
                <c:pt idx="3">
                  <c:v>3.7961999999999998</c:v>
                </c:pt>
                <c:pt idx="4">
                  <c:v>3.7993999999999999</c:v>
                </c:pt>
                <c:pt idx="5">
                  <c:v>3.8005</c:v>
                </c:pt>
                <c:pt idx="6">
                  <c:v>3.7927</c:v>
                </c:pt>
                <c:pt idx="7">
                  <c:v>3.7945000000000002</c:v>
                </c:pt>
                <c:pt idx="8">
                  <c:v>3.7972000000000001</c:v>
                </c:pt>
                <c:pt idx="9">
                  <c:v>3.7932999999999999</c:v>
                </c:pt>
                <c:pt idx="10">
                  <c:v>3.7843</c:v>
                </c:pt>
                <c:pt idx="11">
                  <c:v>3.7825000000000002</c:v>
                </c:pt>
                <c:pt idx="12">
                  <c:v>3.7665000000000002</c:v>
                </c:pt>
                <c:pt idx="13">
                  <c:v>3.7614999999999998</c:v>
                </c:pt>
                <c:pt idx="14">
                  <c:v>3.7669999999999999</c:v>
                </c:pt>
                <c:pt idx="15">
                  <c:v>3.7770999999999999</c:v>
                </c:pt>
                <c:pt idx="16">
                  <c:v>3.7645</c:v>
                </c:pt>
                <c:pt idx="17">
                  <c:v>3.7650000000000001</c:v>
                </c:pt>
                <c:pt idx="18">
                  <c:v>3.7650000000000001</c:v>
                </c:pt>
                <c:pt idx="19">
                  <c:v>3.7650000000000001</c:v>
                </c:pt>
                <c:pt idx="20">
                  <c:v>3.7726000000000002</c:v>
                </c:pt>
                <c:pt idx="21">
                  <c:v>3.7761</c:v>
                </c:pt>
                <c:pt idx="22">
                  <c:v>3.7705000000000002</c:v>
                </c:pt>
                <c:pt idx="23">
                  <c:v>3.7755000000000001</c:v>
                </c:pt>
                <c:pt idx="24">
                  <c:v>3.7643</c:v>
                </c:pt>
                <c:pt idx="25">
                  <c:v>3.7671000000000001</c:v>
                </c:pt>
                <c:pt idx="26">
                  <c:v>3.7814999999999999</c:v>
                </c:pt>
                <c:pt idx="27">
                  <c:v>3.7839999999999998</c:v>
                </c:pt>
                <c:pt idx="28">
                  <c:v>3.7778</c:v>
                </c:pt>
                <c:pt idx="29">
                  <c:v>3.7890000000000001</c:v>
                </c:pt>
                <c:pt idx="30">
                  <c:v>3.7915000000000001</c:v>
                </c:pt>
                <c:pt idx="31">
                  <c:v>3.7871999999999999</c:v>
                </c:pt>
                <c:pt idx="32">
                  <c:v>3.7949999999999999</c:v>
                </c:pt>
                <c:pt idx="33">
                  <c:v>3.8025000000000002</c:v>
                </c:pt>
                <c:pt idx="34">
                  <c:v>3.7930000000000001</c:v>
                </c:pt>
                <c:pt idx="35">
                  <c:v>3.7934999999999999</c:v>
                </c:pt>
                <c:pt idx="36">
                  <c:v>3.7974999999999999</c:v>
                </c:pt>
                <c:pt idx="37">
                  <c:v>3.7936999999999999</c:v>
                </c:pt>
                <c:pt idx="38">
                  <c:v>3.8025000000000002</c:v>
                </c:pt>
                <c:pt idx="39">
                  <c:v>3.7961999999999998</c:v>
                </c:pt>
                <c:pt idx="40">
                  <c:v>3.7917000000000001</c:v>
                </c:pt>
                <c:pt idx="41">
                  <c:v>3.7919</c:v>
                </c:pt>
                <c:pt idx="42">
                  <c:v>3.7955999999999999</c:v>
                </c:pt>
                <c:pt idx="43">
                  <c:v>3.7987000000000002</c:v>
                </c:pt>
                <c:pt idx="44">
                  <c:v>3.8</c:v>
                </c:pt>
                <c:pt idx="45">
                  <c:v>3.8012000000000001</c:v>
                </c:pt>
                <c:pt idx="46">
                  <c:v>3.8006000000000002</c:v>
                </c:pt>
                <c:pt idx="47">
                  <c:v>3.8025000000000002</c:v>
                </c:pt>
                <c:pt idx="48">
                  <c:v>3.7936999999999999</c:v>
                </c:pt>
                <c:pt idx="49">
                  <c:v>3.7917999999999998</c:v>
                </c:pt>
                <c:pt idx="50">
                  <c:v>3.8</c:v>
                </c:pt>
                <c:pt idx="51">
                  <c:v>3.8075000000000001</c:v>
                </c:pt>
                <c:pt idx="52">
                  <c:v>3.7949999999999999</c:v>
                </c:pt>
                <c:pt idx="53">
                  <c:v>3.8</c:v>
                </c:pt>
                <c:pt idx="54">
                  <c:v>3.8012000000000001</c:v>
                </c:pt>
                <c:pt idx="55">
                  <c:v>3.8062</c:v>
                </c:pt>
                <c:pt idx="56">
                  <c:v>3.8050000000000002</c:v>
                </c:pt>
                <c:pt idx="57">
                  <c:v>3.8125</c:v>
                </c:pt>
                <c:pt idx="58">
                  <c:v>3.8067000000000002</c:v>
                </c:pt>
                <c:pt idx="59">
                  <c:v>3.8033000000000001</c:v>
                </c:pt>
                <c:pt idx="60">
                  <c:v>3.8125</c:v>
                </c:pt>
                <c:pt idx="61">
                  <c:v>3.8149999999999999</c:v>
                </c:pt>
                <c:pt idx="62">
                  <c:v>3.8125</c:v>
                </c:pt>
                <c:pt idx="63">
                  <c:v>3.8157000000000001</c:v>
                </c:pt>
                <c:pt idx="64">
                  <c:v>3.8125</c:v>
                </c:pt>
                <c:pt idx="65">
                  <c:v>3.8012000000000001</c:v>
                </c:pt>
                <c:pt idx="66">
                  <c:v>3.8054000000000001</c:v>
                </c:pt>
                <c:pt idx="67">
                  <c:v>3.8132000000000001</c:v>
                </c:pt>
                <c:pt idx="68">
                  <c:v>3.8087</c:v>
                </c:pt>
                <c:pt idx="69">
                  <c:v>3.8039999999999998</c:v>
                </c:pt>
                <c:pt idx="70">
                  <c:v>3.7959999999999998</c:v>
                </c:pt>
                <c:pt idx="71">
                  <c:v>3.8</c:v>
                </c:pt>
                <c:pt idx="72">
                  <c:v>3.8085</c:v>
                </c:pt>
                <c:pt idx="73">
                  <c:v>3.7949999999999999</c:v>
                </c:pt>
                <c:pt idx="74">
                  <c:v>3.8109999999999999</c:v>
                </c:pt>
                <c:pt idx="75">
                  <c:v>3.8075000000000001</c:v>
                </c:pt>
                <c:pt idx="76">
                  <c:v>3.8144999999999998</c:v>
                </c:pt>
                <c:pt idx="77">
                  <c:v>3.8022</c:v>
                </c:pt>
                <c:pt idx="78">
                  <c:v>3.8151999999999999</c:v>
                </c:pt>
                <c:pt idx="79">
                  <c:v>3.7955999999999999</c:v>
                </c:pt>
                <c:pt idx="80">
                  <c:v>3.7949999999999999</c:v>
                </c:pt>
                <c:pt idx="81">
                  <c:v>3.7905000000000002</c:v>
                </c:pt>
                <c:pt idx="82">
                  <c:v>3.8</c:v>
                </c:pt>
                <c:pt idx="83">
                  <c:v>3.8050000000000002</c:v>
                </c:pt>
                <c:pt idx="84">
                  <c:v>3.798</c:v>
                </c:pt>
                <c:pt idx="85">
                  <c:v>3.8010000000000002</c:v>
                </c:pt>
                <c:pt idx="86">
                  <c:v>3.8149000000000002</c:v>
                </c:pt>
                <c:pt idx="87">
                  <c:v>3.7987000000000002</c:v>
                </c:pt>
                <c:pt idx="88">
                  <c:v>3.7934999999999999</c:v>
                </c:pt>
                <c:pt idx="89">
                  <c:v>3.8090000000000002</c:v>
                </c:pt>
                <c:pt idx="90">
                  <c:v>3.8170999999999999</c:v>
                </c:pt>
                <c:pt idx="91">
                  <c:v>3.8075000000000001</c:v>
                </c:pt>
                <c:pt idx="92">
                  <c:v>3.8083999999999998</c:v>
                </c:pt>
                <c:pt idx="93">
                  <c:v>3.7948</c:v>
                </c:pt>
                <c:pt idx="94">
                  <c:v>3.8</c:v>
                </c:pt>
                <c:pt idx="95">
                  <c:v>3.8085</c:v>
                </c:pt>
                <c:pt idx="96">
                  <c:v>3.8071999999999999</c:v>
                </c:pt>
                <c:pt idx="97">
                  <c:v>3.8159999999999998</c:v>
                </c:pt>
                <c:pt idx="98">
                  <c:v>3.7915000000000001</c:v>
                </c:pt>
                <c:pt idx="99">
                  <c:v>3.8085</c:v>
                </c:pt>
                <c:pt idx="100">
                  <c:v>3.7968000000000002</c:v>
                </c:pt>
                <c:pt idx="101">
                  <c:v>3.7858000000000001</c:v>
                </c:pt>
                <c:pt idx="102">
                  <c:v>3.7785000000000002</c:v>
                </c:pt>
                <c:pt idx="103">
                  <c:v>3.8043</c:v>
                </c:pt>
                <c:pt idx="104">
                  <c:v>3.8085</c:v>
                </c:pt>
                <c:pt idx="105">
                  <c:v>3.8094999999999999</c:v>
                </c:pt>
                <c:pt idx="106">
                  <c:v>3.8085</c:v>
                </c:pt>
                <c:pt idx="107">
                  <c:v>3.3250000000000002</c:v>
                </c:pt>
                <c:pt idx="108">
                  <c:v>3.3220000000000001</c:v>
                </c:pt>
                <c:pt idx="109">
                  <c:v>3.3159999999999998</c:v>
                </c:pt>
                <c:pt idx="110">
                  <c:v>3.3092999999999999</c:v>
                </c:pt>
                <c:pt idx="111">
                  <c:v>3.3090999999999999</c:v>
                </c:pt>
                <c:pt idx="112">
                  <c:v>3.3117999999999999</c:v>
                </c:pt>
                <c:pt idx="113">
                  <c:v>3.3075000000000001</c:v>
                </c:pt>
                <c:pt idx="114">
                  <c:v>3.3094999999999999</c:v>
                </c:pt>
                <c:pt idx="115">
                  <c:v>3.31</c:v>
                </c:pt>
                <c:pt idx="116">
                  <c:v>3.31</c:v>
                </c:pt>
                <c:pt idx="117">
                  <c:v>3.3184</c:v>
                </c:pt>
                <c:pt idx="118">
                  <c:v>3.31</c:v>
                </c:pt>
                <c:pt idx="119">
                  <c:v>3.3075000000000001</c:v>
                </c:pt>
                <c:pt idx="120">
                  <c:v>3.3125</c:v>
                </c:pt>
                <c:pt idx="121">
                  <c:v>3.3087</c:v>
                </c:pt>
                <c:pt idx="122">
                  <c:v>3.3050000000000002</c:v>
                </c:pt>
                <c:pt idx="123">
                  <c:v>3.3075000000000001</c:v>
                </c:pt>
                <c:pt idx="124">
                  <c:v>3.3077000000000001</c:v>
                </c:pt>
                <c:pt idx="125">
                  <c:v>3.3125</c:v>
                </c:pt>
                <c:pt idx="126">
                  <c:v>3.3068</c:v>
                </c:pt>
                <c:pt idx="127">
                  <c:v>3.3008000000000002</c:v>
                </c:pt>
                <c:pt idx="128">
                  <c:v>3.2959999999999998</c:v>
                </c:pt>
                <c:pt idx="129">
                  <c:v>3.2919</c:v>
                </c:pt>
                <c:pt idx="130">
                  <c:v>3.2945000000000002</c:v>
                </c:pt>
                <c:pt idx="131">
                  <c:v>3.294</c:v>
                </c:pt>
                <c:pt idx="132">
                  <c:v>3.3073999999999999</c:v>
                </c:pt>
                <c:pt idx="133">
                  <c:v>3.3094999999999999</c:v>
                </c:pt>
                <c:pt idx="134">
                  <c:v>3.2972000000000001</c:v>
                </c:pt>
                <c:pt idx="135">
                  <c:v>3.2970000000000002</c:v>
                </c:pt>
                <c:pt idx="136">
                  <c:v>3.2932000000000001</c:v>
                </c:pt>
                <c:pt idx="137">
                  <c:v>3.2820999999999998</c:v>
                </c:pt>
                <c:pt idx="138">
                  <c:v>3.2890999999999999</c:v>
                </c:pt>
                <c:pt idx="139">
                  <c:v>3.2850000000000001</c:v>
                </c:pt>
                <c:pt idx="140">
                  <c:v>3.2875000000000001</c:v>
                </c:pt>
                <c:pt idx="141">
                  <c:v>3.2936000000000001</c:v>
                </c:pt>
                <c:pt idx="142">
                  <c:v>3.2909999999999999</c:v>
                </c:pt>
                <c:pt idx="143">
                  <c:v>3.2886000000000002</c:v>
                </c:pt>
                <c:pt idx="144">
                  <c:v>3.3022999999999998</c:v>
                </c:pt>
                <c:pt idx="145">
                  <c:v>3.3075000000000001</c:v>
                </c:pt>
                <c:pt idx="146">
                  <c:v>3.31</c:v>
                </c:pt>
                <c:pt idx="147">
                  <c:v>3.3</c:v>
                </c:pt>
                <c:pt idx="148">
                  <c:v>3.3125</c:v>
                </c:pt>
                <c:pt idx="149">
                  <c:v>3.2965</c:v>
                </c:pt>
                <c:pt idx="150">
                  <c:v>3.2970000000000002</c:v>
                </c:pt>
                <c:pt idx="151">
                  <c:v>3.2934999999999999</c:v>
                </c:pt>
                <c:pt idx="152">
                  <c:v>3.298</c:v>
                </c:pt>
                <c:pt idx="153">
                  <c:v>3.2972000000000001</c:v>
                </c:pt>
                <c:pt idx="154">
                  <c:v>3.3010000000000002</c:v>
                </c:pt>
                <c:pt idx="155">
                  <c:v>3.2940999999999998</c:v>
                </c:pt>
                <c:pt idx="156">
                  <c:v>3.3025000000000002</c:v>
                </c:pt>
                <c:pt idx="157">
                  <c:v>3.2982999999999998</c:v>
                </c:pt>
                <c:pt idx="158">
                  <c:v>3.2925</c:v>
                </c:pt>
                <c:pt idx="159">
                  <c:v>3.2864</c:v>
                </c:pt>
                <c:pt idx="160">
                  <c:v>3.3025000000000002</c:v>
                </c:pt>
                <c:pt idx="161">
                  <c:v>3.3025000000000002</c:v>
                </c:pt>
                <c:pt idx="162">
                  <c:v>3.2974999999999999</c:v>
                </c:pt>
                <c:pt idx="163">
                  <c:v>3.3025000000000002</c:v>
                </c:pt>
                <c:pt idx="164">
                  <c:v>3.2925</c:v>
                </c:pt>
                <c:pt idx="165">
                  <c:v>3.2951000000000001</c:v>
                </c:pt>
                <c:pt idx="166">
                  <c:v>3.2974999999999999</c:v>
                </c:pt>
                <c:pt idx="167">
                  <c:v>3.286</c:v>
                </c:pt>
                <c:pt idx="168">
                  <c:v>3.2909999999999999</c:v>
                </c:pt>
                <c:pt idx="169">
                  <c:v>3.2909999999999999</c:v>
                </c:pt>
                <c:pt idx="170">
                  <c:v>3.2949999999999999</c:v>
                </c:pt>
                <c:pt idx="171">
                  <c:v>3.2826</c:v>
                </c:pt>
                <c:pt idx="172">
                  <c:v>3.2925</c:v>
                </c:pt>
                <c:pt idx="173">
                  <c:v>3.2925</c:v>
                </c:pt>
                <c:pt idx="174">
                  <c:v>3.2926000000000002</c:v>
                </c:pt>
                <c:pt idx="175">
                  <c:v>3.2818000000000001</c:v>
                </c:pt>
                <c:pt idx="176">
                  <c:v>3.2930000000000001</c:v>
                </c:pt>
                <c:pt idx="177">
                  <c:v>3.2926000000000002</c:v>
                </c:pt>
                <c:pt idx="178">
                  <c:v>3.3065000000000002</c:v>
                </c:pt>
                <c:pt idx="179">
                  <c:v>3.29</c:v>
                </c:pt>
                <c:pt idx="180">
                  <c:v>3.2974999999999999</c:v>
                </c:pt>
                <c:pt idx="181">
                  <c:v>3.2974999999999999</c:v>
                </c:pt>
                <c:pt idx="182">
                  <c:v>3.2865000000000002</c:v>
                </c:pt>
                <c:pt idx="183">
                  <c:v>3.282</c:v>
                </c:pt>
                <c:pt idx="184">
                  <c:v>3.2825000000000002</c:v>
                </c:pt>
                <c:pt idx="185">
                  <c:v>3.2768000000000002</c:v>
                </c:pt>
                <c:pt idx="186">
                  <c:v>3.2740999999999998</c:v>
                </c:pt>
                <c:pt idx="187">
                  <c:v>3.2915999999999999</c:v>
                </c:pt>
                <c:pt idx="188">
                  <c:v>3.2793000000000001</c:v>
                </c:pt>
                <c:pt idx="189">
                  <c:v>3.2896000000000001</c:v>
                </c:pt>
                <c:pt idx="190">
                  <c:v>3.3</c:v>
                </c:pt>
                <c:pt idx="191">
                  <c:v>3.2949999999999999</c:v>
                </c:pt>
                <c:pt idx="192">
                  <c:v>3.2949999999999999</c:v>
                </c:pt>
                <c:pt idx="193">
                  <c:v>3.3050000000000002</c:v>
                </c:pt>
                <c:pt idx="194">
                  <c:v>3.2974999999999999</c:v>
                </c:pt>
                <c:pt idx="195">
                  <c:v>3.2995999999999999</c:v>
                </c:pt>
                <c:pt idx="196">
                  <c:v>3.29</c:v>
                </c:pt>
                <c:pt idx="197">
                  <c:v>3.3031000000000001</c:v>
                </c:pt>
                <c:pt idx="198">
                  <c:v>3.2965</c:v>
                </c:pt>
                <c:pt idx="199">
                  <c:v>3.2886000000000002</c:v>
                </c:pt>
                <c:pt idx="200">
                  <c:v>3.2835000000000001</c:v>
                </c:pt>
                <c:pt idx="201">
                  <c:v>3.2850000000000001</c:v>
                </c:pt>
                <c:pt idx="202">
                  <c:v>3.2974999999999999</c:v>
                </c:pt>
                <c:pt idx="203">
                  <c:v>3.3</c:v>
                </c:pt>
                <c:pt idx="204">
                  <c:v>3.2949999999999999</c:v>
                </c:pt>
                <c:pt idx="205">
                  <c:v>3.2875000000000001</c:v>
                </c:pt>
                <c:pt idx="206">
                  <c:v>3.2837999999999998</c:v>
                </c:pt>
                <c:pt idx="207">
                  <c:v>3.2949999999999999</c:v>
                </c:pt>
                <c:pt idx="208">
                  <c:v>3.2902999999999998</c:v>
                </c:pt>
                <c:pt idx="209">
                  <c:v>3.2761999999999998</c:v>
                </c:pt>
                <c:pt idx="210">
                  <c:v>3.2810000000000001</c:v>
                </c:pt>
                <c:pt idx="211">
                  <c:v>3.28</c:v>
                </c:pt>
                <c:pt idx="212">
                  <c:v>3.2938000000000001</c:v>
                </c:pt>
                <c:pt idx="213">
                  <c:v>3.2818999999999998</c:v>
                </c:pt>
                <c:pt idx="214">
                  <c:v>3.2755000000000001</c:v>
                </c:pt>
                <c:pt idx="215">
                  <c:v>3.2797999999999998</c:v>
                </c:pt>
                <c:pt idx="216">
                  <c:v>3.2761999999999998</c:v>
                </c:pt>
                <c:pt idx="217">
                  <c:v>3.2746</c:v>
                </c:pt>
                <c:pt idx="218">
                  <c:v>3.2949999999999999</c:v>
                </c:pt>
                <c:pt idx="219">
                  <c:v>3.2949999999999999</c:v>
                </c:pt>
                <c:pt idx="220">
                  <c:v>3.28</c:v>
                </c:pt>
                <c:pt idx="221">
                  <c:v>3.28</c:v>
                </c:pt>
                <c:pt idx="222">
                  <c:v>3.2774999999999999</c:v>
                </c:pt>
                <c:pt idx="223">
                  <c:v>3.2774999999999999</c:v>
                </c:pt>
                <c:pt idx="224">
                  <c:v>3.2976999999999999</c:v>
                </c:pt>
                <c:pt idx="225">
                  <c:v>3.3025000000000002</c:v>
                </c:pt>
                <c:pt idx="226">
                  <c:v>3.2974999999999999</c:v>
                </c:pt>
                <c:pt idx="227">
                  <c:v>3.2904</c:v>
                </c:pt>
                <c:pt idx="228">
                  <c:v>3.2957000000000001</c:v>
                </c:pt>
                <c:pt idx="229">
                  <c:v>3.3085</c:v>
                </c:pt>
                <c:pt idx="230">
                  <c:v>3.2965</c:v>
                </c:pt>
                <c:pt idx="231">
                  <c:v>3.3025000000000002</c:v>
                </c:pt>
                <c:pt idx="232">
                  <c:v>3.2940999999999998</c:v>
                </c:pt>
                <c:pt idx="233">
                  <c:v>3.2875000000000001</c:v>
                </c:pt>
                <c:pt idx="234">
                  <c:v>3.2850000000000001</c:v>
                </c:pt>
                <c:pt idx="235">
                  <c:v>3.2974999999999999</c:v>
                </c:pt>
                <c:pt idx="236">
                  <c:v>3.2974999999999999</c:v>
                </c:pt>
                <c:pt idx="237">
                  <c:v>3.3007</c:v>
                </c:pt>
                <c:pt idx="238">
                  <c:v>3.2928000000000002</c:v>
                </c:pt>
                <c:pt idx="239">
                  <c:v>3.2974999999999999</c:v>
                </c:pt>
                <c:pt idx="240">
                  <c:v>3.2974999999999999</c:v>
                </c:pt>
                <c:pt idx="241">
                  <c:v>3.2995999999999999</c:v>
                </c:pt>
                <c:pt idx="242">
                  <c:v>3.2995999999999999</c:v>
                </c:pt>
                <c:pt idx="243">
                  <c:v>3.2995999999999999</c:v>
                </c:pt>
                <c:pt idx="244">
                  <c:v>3.2974999999999999</c:v>
                </c:pt>
                <c:pt idx="245">
                  <c:v>3.3111999999999999</c:v>
                </c:pt>
                <c:pt idx="246">
                  <c:v>3.3119999999999998</c:v>
                </c:pt>
                <c:pt idx="247">
                  <c:v>3.306</c:v>
                </c:pt>
                <c:pt idx="248">
                  <c:v>3.302</c:v>
                </c:pt>
                <c:pt idx="249">
                  <c:v>3.3066</c:v>
                </c:pt>
                <c:pt idx="250">
                  <c:v>3.3109999999999999</c:v>
                </c:pt>
                <c:pt idx="251">
                  <c:v>3.3205</c:v>
                </c:pt>
                <c:pt idx="252">
                  <c:v>3.3239999999999998</c:v>
                </c:pt>
                <c:pt idx="253">
                  <c:v>3.3224999999999998</c:v>
                </c:pt>
                <c:pt idx="254">
                  <c:v>3.3050000000000002</c:v>
                </c:pt>
                <c:pt idx="255">
                  <c:v>3.3</c:v>
                </c:pt>
                <c:pt idx="256">
                  <c:v>3.3075000000000001</c:v>
                </c:pt>
                <c:pt idx="257">
                  <c:v>3.3</c:v>
                </c:pt>
                <c:pt idx="258">
                  <c:v>3.2885</c:v>
                </c:pt>
                <c:pt idx="259">
                  <c:v>3.2991000000000001</c:v>
                </c:pt>
                <c:pt idx="260">
                  <c:v>3.2974999999999999</c:v>
                </c:pt>
                <c:pt idx="261">
                  <c:v>3.3025000000000002</c:v>
                </c:pt>
                <c:pt idx="262">
                  <c:v>3.2961999999999998</c:v>
                </c:pt>
                <c:pt idx="263">
                  <c:v>3.3016999999999999</c:v>
                </c:pt>
                <c:pt idx="264">
                  <c:v>3.29</c:v>
                </c:pt>
                <c:pt idx="265">
                  <c:v>3.2949999999999999</c:v>
                </c:pt>
                <c:pt idx="266">
                  <c:v>3.2925</c:v>
                </c:pt>
                <c:pt idx="267">
                  <c:v>3.2974999999999999</c:v>
                </c:pt>
                <c:pt idx="268">
                  <c:v>3.3039000000000001</c:v>
                </c:pt>
                <c:pt idx="269">
                  <c:v>3.2976999999999999</c:v>
                </c:pt>
                <c:pt idx="270">
                  <c:v>3.3050000000000002</c:v>
                </c:pt>
                <c:pt idx="271">
                  <c:v>3.2875000000000001</c:v>
                </c:pt>
                <c:pt idx="272">
                  <c:v>3.2949999999999999</c:v>
                </c:pt>
                <c:pt idx="273">
                  <c:v>3.3010000000000002</c:v>
                </c:pt>
                <c:pt idx="274">
                  <c:v>3.3</c:v>
                </c:pt>
                <c:pt idx="275">
                  <c:v>3.2925</c:v>
                </c:pt>
                <c:pt idx="276">
                  <c:v>3.2909999999999999</c:v>
                </c:pt>
                <c:pt idx="277">
                  <c:v>3.2974999999999999</c:v>
                </c:pt>
                <c:pt idx="278">
                  <c:v>3.2955000000000001</c:v>
                </c:pt>
                <c:pt idx="279">
                  <c:v>3.2890999999999999</c:v>
                </c:pt>
                <c:pt idx="280">
                  <c:v>3.3029000000000002</c:v>
                </c:pt>
                <c:pt idx="281">
                  <c:v>3.2961</c:v>
                </c:pt>
                <c:pt idx="282">
                  <c:v>3.2974999999999999</c:v>
                </c:pt>
                <c:pt idx="283">
                  <c:v>3.3</c:v>
                </c:pt>
                <c:pt idx="284">
                  <c:v>3.3</c:v>
                </c:pt>
                <c:pt idx="285">
                  <c:v>3.2949999999999999</c:v>
                </c:pt>
                <c:pt idx="286">
                  <c:v>3.2925</c:v>
                </c:pt>
                <c:pt idx="287">
                  <c:v>3.3</c:v>
                </c:pt>
                <c:pt idx="288">
                  <c:v>3.3025000000000002</c:v>
                </c:pt>
                <c:pt idx="289">
                  <c:v>3.3041</c:v>
                </c:pt>
                <c:pt idx="290">
                  <c:v>3.2925</c:v>
                </c:pt>
                <c:pt idx="291">
                  <c:v>3.2987000000000002</c:v>
                </c:pt>
                <c:pt idx="292">
                  <c:v>3.29</c:v>
                </c:pt>
                <c:pt idx="293">
                  <c:v>3.2934000000000001</c:v>
                </c:pt>
                <c:pt idx="294">
                  <c:v>3.2953000000000001</c:v>
                </c:pt>
                <c:pt idx="295">
                  <c:v>3.2875000000000001</c:v>
                </c:pt>
                <c:pt idx="296">
                  <c:v>3.3037000000000001</c:v>
                </c:pt>
                <c:pt idx="297">
                  <c:v>3.3050000000000002</c:v>
                </c:pt>
                <c:pt idx="298">
                  <c:v>3.3075000000000001</c:v>
                </c:pt>
                <c:pt idx="299">
                  <c:v>3.31</c:v>
                </c:pt>
                <c:pt idx="300">
                  <c:v>3.3025000000000002</c:v>
                </c:pt>
                <c:pt idx="301">
                  <c:v>3.3111999999999999</c:v>
                </c:pt>
                <c:pt idx="302">
                  <c:v>3.3140000000000001</c:v>
                </c:pt>
                <c:pt idx="303">
                  <c:v>3.3090000000000002</c:v>
                </c:pt>
                <c:pt idx="304">
                  <c:v>3.2989999999999999</c:v>
                </c:pt>
                <c:pt idx="305">
                  <c:v>3.3029999999999999</c:v>
                </c:pt>
                <c:pt idx="306">
                  <c:v>3.3050000000000002</c:v>
                </c:pt>
                <c:pt idx="307">
                  <c:v>3.3083</c:v>
                </c:pt>
                <c:pt idx="308">
                  <c:v>3.3075000000000001</c:v>
                </c:pt>
                <c:pt idx="309">
                  <c:v>3.31</c:v>
                </c:pt>
                <c:pt idx="310">
                  <c:v>3.3050000000000002</c:v>
                </c:pt>
                <c:pt idx="311">
                  <c:v>3.2955000000000001</c:v>
                </c:pt>
                <c:pt idx="312">
                  <c:v>3.2989999999999999</c:v>
                </c:pt>
                <c:pt idx="313">
                  <c:v>3.2949999999999999</c:v>
                </c:pt>
                <c:pt idx="314">
                  <c:v>3.3</c:v>
                </c:pt>
                <c:pt idx="315">
                  <c:v>3.29</c:v>
                </c:pt>
                <c:pt idx="316">
                  <c:v>3.3050000000000002</c:v>
                </c:pt>
                <c:pt idx="317">
                  <c:v>3.31</c:v>
                </c:pt>
                <c:pt idx="318">
                  <c:v>3.3081999999999998</c:v>
                </c:pt>
                <c:pt idx="319">
                  <c:v>3.3</c:v>
                </c:pt>
                <c:pt idx="320">
                  <c:v>3.3</c:v>
                </c:pt>
                <c:pt idx="321">
                  <c:v>3.278</c:v>
                </c:pt>
                <c:pt idx="322">
                  <c:v>3.2850000000000001</c:v>
                </c:pt>
                <c:pt idx="323">
                  <c:v>3.2949999999999999</c:v>
                </c:pt>
                <c:pt idx="324">
                  <c:v>3.2955000000000001</c:v>
                </c:pt>
                <c:pt idx="325">
                  <c:v>3.2970000000000002</c:v>
                </c:pt>
                <c:pt idx="326">
                  <c:v>3.2930000000000001</c:v>
                </c:pt>
                <c:pt idx="327">
                  <c:v>3.3046000000000002</c:v>
                </c:pt>
                <c:pt idx="328">
                  <c:v>3.3</c:v>
                </c:pt>
                <c:pt idx="329">
                  <c:v>3.29</c:v>
                </c:pt>
                <c:pt idx="330">
                  <c:v>3.2875000000000001</c:v>
                </c:pt>
                <c:pt idx="331">
                  <c:v>3.2974999999999999</c:v>
                </c:pt>
                <c:pt idx="332">
                  <c:v>3.3062</c:v>
                </c:pt>
                <c:pt idx="333">
                  <c:v>3.3</c:v>
                </c:pt>
                <c:pt idx="334">
                  <c:v>3.2949999999999999</c:v>
                </c:pt>
                <c:pt idx="335">
                  <c:v>3.3075000000000001</c:v>
                </c:pt>
                <c:pt idx="336">
                  <c:v>3.3</c:v>
                </c:pt>
                <c:pt idx="337">
                  <c:v>3.3</c:v>
                </c:pt>
                <c:pt idx="338">
                  <c:v>3.3</c:v>
                </c:pt>
                <c:pt idx="339">
                  <c:v>3.3065000000000002</c:v>
                </c:pt>
                <c:pt idx="340">
                  <c:v>3.302</c:v>
                </c:pt>
                <c:pt idx="341">
                  <c:v>3.3</c:v>
                </c:pt>
                <c:pt idx="342">
                  <c:v>3.2934999999999999</c:v>
                </c:pt>
                <c:pt idx="343">
                  <c:v>3.2995000000000001</c:v>
                </c:pt>
                <c:pt idx="344">
                  <c:v>3.2945000000000002</c:v>
                </c:pt>
                <c:pt idx="345">
                  <c:v>3.31</c:v>
                </c:pt>
                <c:pt idx="346">
                  <c:v>3.2989999999999999</c:v>
                </c:pt>
                <c:pt idx="347">
                  <c:v>3.3071999999999999</c:v>
                </c:pt>
                <c:pt idx="348">
                  <c:v>3.3050000000000002</c:v>
                </c:pt>
                <c:pt idx="349">
                  <c:v>3.3</c:v>
                </c:pt>
                <c:pt idx="350">
                  <c:v>3.3025000000000002</c:v>
                </c:pt>
                <c:pt idx="351">
                  <c:v>3.2949999999999999</c:v>
                </c:pt>
                <c:pt idx="352">
                  <c:v>3.3</c:v>
                </c:pt>
                <c:pt idx="353">
                  <c:v>3.3089</c:v>
                </c:pt>
                <c:pt idx="354">
                  <c:v>3.3075000000000001</c:v>
                </c:pt>
                <c:pt idx="355">
                  <c:v>3.3</c:v>
                </c:pt>
                <c:pt idx="356">
                  <c:v>3.31</c:v>
                </c:pt>
                <c:pt idx="357">
                  <c:v>3.3105000000000002</c:v>
                </c:pt>
                <c:pt idx="358">
                  <c:v>3.3094000000000001</c:v>
                </c:pt>
                <c:pt idx="359">
                  <c:v>3.3</c:v>
                </c:pt>
                <c:pt idx="360">
                  <c:v>3.2949999999999999</c:v>
                </c:pt>
                <c:pt idx="361">
                  <c:v>3.3144999999999998</c:v>
                </c:pt>
                <c:pt idx="362">
                  <c:v>3.3025000000000002</c:v>
                </c:pt>
                <c:pt idx="363">
                  <c:v>3.3050000000000002</c:v>
                </c:pt>
                <c:pt idx="364">
                  <c:v>3.3079999999999998</c:v>
                </c:pt>
                <c:pt idx="365">
                  <c:v>3.31</c:v>
                </c:pt>
                <c:pt idx="366">
                  <c:v>3.31</c:v>
                </c:pt>
                <c:pt idx="367">
                  <c:v>3.3025000000000002</c:v>
                </c:pt>
                <c:pt idx="368">
                  <c:v>3.3088000000000002</c:v>
                </c:pt>
                <c:pt idx="369">
                  <c:v>3.3025000000000002</c:v>
                </c:pt>
                <c:pt idx="370">
                  <c:v>3.2974999999999999</c:v>
                </c:pt>
                <c:pt idx="371">
                  <c:v>3.2949999999999999</c:v>
                </c:pt>
                <c:pt idx="372">
                  <c:v>3.3025000000000002</c:v>
                </c:pt>
                <c:pt idx="373">
                  <c:v>3.3025000000000002</c:v>
                </c:pt>
                <c:pt idx="374">
                  <c:v>3.31</c:v>
                </c:pt>
                <c:pt idx="375">
                  <c:v>3.3025000000000002</c:v>
                </c:pt>
                <c:pt idx="376">
                  <c:v>3.3037000000000001</c:v>
                </c:pt>
                <c:pt idx="377">
                  <c:v>3.3</c:v>
                </c:pt>
                <c:pt idx="378">
                  <c:v>3.2988</c:v>
                </c:pt>
                <c:pt idx="379">
                  <c:v>3.2925</c:v>
                </c:pt>
                <c:pt idx="380">
                  <c:v>3.2966000000000002</c:v>
                </c:pt>
                <c:pt idx="381">
                  <c:v>3.2959999999999998</c:v>
                </c:pt>
                <c:pt idx="382">
                  <c:v>3.2955999999999999</c:v>
                </c:pt>
                <c:pt idx="383">
                  <c:v>3.2987000000000002</c:v>
                </c:pt>
                <c:pt idx="384">
                  <c:v>3.3075000000000001</c:v>
                </c:pt>
                <c:pt idx="385">
                  <c:v>3.3094999999999999</c:v>
                </c:pt>
                <c:pt idx="386">
                  <c:v>3.3025000000000002</c:v>
                </c:pt>
                <c:pt idx="387">
                  <c:v>3.3</c:v>
                </c:pt>
                <c:pt idx="388">
                  <c:v>3.3041999999999998</c:v>
                </c:pt>
                <c:pt idx="389">
                  <c:v>3.3087</c:v>
                </c:pt>
                <c:pt idx="390">
                  <c:v>3.3050000000000002</c:v>
                </c:pt>
                <c:pt idx="391">
                  <c:v>3.3075000000000001</c:v>
                </c:pt>
                <c:pt idx="392">
                  <c:v>3.31</c:v>
                </c:pt>
                <c:pt idx="393">
                  <c:v>3.3130000000000002</c:v>
                </c:pt>
                <c:pt idx="394">
                  <c:v>3.3050000000000002</c:v>
                </c:pt>
                <c:pt idx="395">
                  <c:v>3.3025000000000002</c:v>
                </c:pt>
                <c:pt idx="396">
                  <c:v>3.3111999999999999</c:v>
                </c:pt>
                <c:pt idx="397">
                  <c:v>3.3140000000000001</c:v>
                </c:pt>
                <c:pt idx="398">
                  <c:v>3.3075000000000001</c:v>
                </c:pt>
                <c:pt idx="399">
                  <c:v>3.31</c:v>
                </c:pt>
                <c:pt idx="400">
                  <c:v>3.3132000000000001</c:v>
                </c:pt>
                <c:pt idx="401">
                  <c:v>3.31</c:v>
                </c:pt>
                <c:pt idx="402">
                  <c:v>3.3134000000000001</c:v>
                </c:pt>
                <c:pt idx="403">
                  <c:v>3.3094999999999999</c:v>
                </c:pt>
                <c:pt idx="404">
                  <c:v>3.3075000000000001</c:v>
                </c:pt>
                <c:pt idx="405">
                  <c:v>3.3075000000000001</c:v>
                </c:pt>
                <c:pt idx="406">
                  <c:v>3.3115999999999999</c:v>
                </c:pt>
                <c:pt idx="407">
                  <c:v>3.31</c:v>
                </c:pt>
                <c:pt idx="408">
                  <c:v>3.3130000000000002</c:v>
                </c:pt>
                <c:pt idx="409">
                  <c:v>3.31</c:v>
                </c:pt>
                <c:pt idx="410">
                  <c:v>3.3172999999999999</c:v>
                </c:pt>
                <c:pt idx="411">
                  <c:v>3.3210000000000002</c:v>
                </c:pt>
                <c:pt idx="412">
                  <c:v>3.3199000000000001</c:v>
                </c:pt>
                <c:pt idx="413">
                  <c:v>3.3321000000000001</c:v>
                </c:pt>
                <c:pt idx="414">
                  <c:v>3.3260000000000001</c:v>
                </c:pt>
                <c:pt idx="415">
                  <c:v>3.33</c:v>
                </c:pt>
                <c:pt idx="416">
                  <c:v>3.3260000000000001</c:v>
                </c:pt>
                <c:pt idx="417">
                  <c:v>3.33</c:v>
                </c:pt>
                <c:pt idx="418">
                  <c:v>3.335</c:v>
                </c:pt>
                <c:pt idx="419">
                  <c:v>3.335</c:v>
                </c:pt>
                <c:pt idx="420">
                  <c:v>3.3357999999999999</c:v>
                </c:pt>
                <c:pt idx="421">
                  <c:v>3.335</c:v>
                </c:pt>
                <c:pt idx="422">
                  <c:v>3.3340000000000001</c:v>
                </c:pt>
                <c:pt idx="423">
                  <c:v>3.339</c:v>
                </c:pt>
                <c:pt idx="424">
                  <c:v>3.3420000000000001</c:v>
                </c:pt>
                <c:pt idx="425">
                  <c:v>3.3424999999999998</c:v>
                </c:pt>
                <c:pt idx="426">
                  <c:v>3.3435999999999999</c:v>
                </c:pt>
                <c:pt idx="427">
                  <c:v>3.3443999999999998</c:v>
                </c:pt>
                <c:pt idx="428">
                  <c:v>3.3439000000000001</c:v>
                </c:pt>
                <c:pt idx="429">
                  <c:v>3.3464999999999998</c:v>
                </c:pt>
                <c:pt idx="430">
                  <c:v>3.3414999999999999</c:v>
                </c:pt>
                <c:pt idx="431">
                  <c:v>3.3256999999999999</c:v>
                </c:pt>
                <c:pt idx="432">
                  <c:v>3.33</c:v>
                </c:pt>
                <c:pt idx="433">
                  <c:v>3.3289</c:v>
                </c:pt>
                <c:pt idx="434">
                  <c:v>3.32</c:v>
                </c:pt>
                <c:pt idx="435">
                  <c:v>3.3224999999999998</c:v>
                </c:pt>
                <c:pt idx="436">
                  <c:v>3.3250000000000002</c:v>
                </c:pt>
                <c:pt idx="437">
                  <c:v>3.3250000000000002</c:v>
                </c:pt>
                <c:pt idx="438">
                  <c:v>3.3250000000000002</c:v>
                </c:pt>
                <c:pt idx="439">
                  <c:v>3.3224999999999998</c:v>
                </c:pt>
                <c:pt idx="440">
                  <c:v>3.3247</c:v>
                </c:pt>
                <c:pt idx="441">
                  <c:v>3.3125</c:v>
                </c:pt>
                <c:pt idx="442">
                  <c:v>3.31</c:v>
                </c:pt>
                <c:pt idx="443">
                  <c:v>3.3134000000000001</c:v>
                </c:pt>
                <c:pt idx="444">
                  <c:v>3.3050000000000002</c:v>
                </c:pt>
                <c:pt idx="445">
                  <c:v>3.3106</c:v>
                </c:pt>
                <c:pt idx="446">
                  <c:v>3.31</c:v>
                </c:pt>
                <c:pt idx="447">
                  <c:v>3.3025000000000002</c:v>
                </c:pt>
                <c:pt idx="448">
                  <c:v>3.3050000000000002</c:v>
                </c:pt>
                <c:pt idx="449">
                  <c:v>3.3</c:v>
                </c:pt>
                <c:pt idx="450">
                  <c:v>3.3</c:v>
                </c:pt>
                <c:pt idx="451">
                  <c:v>3.3079999999999998</c:v>
                </c:pt>
                <c:pt idx="452">
                  <c:v>3.31</c:v>
                </c:pt>
                <c:pt idx="453">
                  <c:v>3.3</c:v>
                </c:pt>
                <c:pt idx="454">
                  <c:v>3.3</c:v>
                </c:pt>
                <c:pt idx="455">
                  <c:v>3.2925</c:v>
                </c:pt>
                <c:pt idx="456">
                  <c:v>3.29</c:v>
                </c:pt>
                <c:pt idx="457">
                  <c:v>3.29</c:v>
                </c:pt>
                <c:pt idx="458">
                  <c:v>3.3037000000000001</c:v>
                </c:pt>
                <c:pt idx="459">
                  <c:v>3.3</c:v>
                </c:pt>
                <c:pt idx="460">
                  <c:v>3.3</c:v>
                </c:pt>
                <c:pt idx="461">
                  <c:v>3.3025000000000002</c:v>
                </c:pt>
                <c:pt idx="462">
                  <c:v>3.3</c:v>
                </c:pt>
                <c:pt idx="463">
                  <c:v>3.3005</c:v>
                </c:pt>
                <c:pt idx="464">
                  <c:v>3.3025000000000002</c:v>
                </c:pt>
                <c:pt idx="465">
                  <c:v>3.3025000000000002</c:v>
                </c:pt>
                <c:pt idx="466">
                  <c:v>3.3098999999999998</c:v>
                </c:pt>
                <c:pt idx="467">
                  <c:v>3.3149999999999999</c:v>
                </c:pt>
                <c:pt idx="468">
                  <c:v>3.31</c:v>
                </c:pt>
                <c:pt idx="469">
                  <c:v>3.32</c:v>
                </c:pt>
                <c:pt idx="470">
                  <c:v>3.3260000000000001</c:v>
                </c:pt>
                <c:pt idx="471">
                  <c:v>3.3224999999999998</c:v>
                </c:pt>
                <c:pt idx="472">
                  <c:v>3.3317999999999999</c:v>
                </c:pt>
                <c:pt idx="473">
                  <c:v>3.3224999999999998</c:v>
                </c:pt>
                <c:pt idx="474">
                  <c:v>3.3325</c:v>
                </c:pt>
                <c:pt idx="475">
                  <c:v>3.3260000000000001</c:v>
                </c:pt>
                <c:pt idx="476">
                  <c:v>3.33</c:v>
                </c:pt>
                <c:pt idx="477">
                  <c:v>3.323</c:v>
                </c:pt>
                <c:pt idx="478">
                  <c:v>3.3149999999999999</c:v>
                </c:pt>
                <c:pt idx="479">
                  <c:v>3.3174999999999999</c:v>
                </c:pt>
                <c:pt idx="480">
                  <c:v>3.3115999999999999</c:v>
                </c:pt>
                <c:pt idx="481">
                  <c:v>3.3250000000000002</c:v>
                </c:pt>
                <c:pt idx="482">
                  <c:v>3.3357999999999999</c:v>
                </c:pt>
                <c:pt idx="483">
                  <c:v>3.34</c:v>
                </c:pt>
                <c:pt idx="484">
                  <c:v>3.33</c:v>
                </c:pt>
                <c:pt idx="485">
                  <c:v>3.34</c:v>
                </c:pt>
                <c:pt idx="486">
                  <c:v>3.35</c:v>
                </c:pt>
                <c:pt idx="487">
                  <c:v>3.36</c:v>
                </c:pt>
                <c:pt idx="488">
                  <c:v>3.3525</c:v>
                </c:pt>
                <c:pt idx="489">
                  <c:v>3.3555000000000001</c:v>
                </c:pt>
                <c:pt idx="490">
                  <c:v>3.34</c:v>
                </c:pt>
                <c:pt idx="491">
                  <c:v>3.3620999999999999</c:v>
                </c:pt>
                <c:pt idx="492">
                  <c:v>3.3824999999999998</c:v>
                </c:pt>
                <c:pt idx="493">
                  <c:v>3.4249999999999998</c:v>
                </c:pt>
                <c:pt idx="494">
                  <c:v>3.4714999999999998</c:v>
                </c:pt>
                <c:pt idx="495">
                  <c:v>3.5042</c:v>
                </c:pt>
                <c:pt idx="496">
                  <c:v>3.53</c:v>
                </c:pt>
                <c:pt idx="497">
                  <c:v>3.5316000000000001</c:v>
                </c:pt>
                <c:pt idx="498">
                  <c:v>3.5350000000000001</c:v>
                </c:pt>
                <c:pt idx="499">
                  <c:v>3.5505</c:v>
                </c:pt>
                <c:pt idx="500">
                  <c:v>3.5525000000000002</c:v>
                </c:pt>
                <c:pt idx="501">
                  <c:v>3.5474999999999999</c:v>
                </c:pt>
                <c:pt idx="502">
                  <c:v>3.5550000000000002</c:v>
                </c:pt>
                <c:pt idx="503">
                  <c:v>3.5575000000000001</c:v>
                </c:pt>
                <c:pt idx="504">
                  <c:v>3.5539999999999998</c:v>
                </c:pt>
                <c:pt idx="505">
                  <c:v>3.56</c:v>
                </c:pt>
                <c:pt idx="506">
                  <c:v>3.56</c:v>
                </c:pt>
                <c:pt idx="507">
                  <c:v>3.5545</c:v>
                </c:pt>
                <c:pt idx="508">
                  <c:v>3.5539000000000001</c:v>
                </c:pt>
                <c:pt idx="509">
                  <c:v>3.5505</c:v>
                </c:pt>
                <c:pt idx="510">
                  <c:v>3.5579000000000001</c:v>
                </c:pt>
                <c:pt idx="511">
                  <c:v>3.5543</c:v>
                </c:pt>
                <c:pt idx="512">
                  <c:v>3.5547</c:v>
                </c:pt>
                <c:pt idx="513">
                  <c:v>3.5598000000000001</c:v>
                </c:pt>
                <c:pt idx="514">
                  <c:v>3.5550999999999999</c:v>
                </c:pt>
                <c:pt idx="515">
                  <c:v>3.5539999999999998</c:v>
                </c:pt>
                <c:pt idx="516">
                  <c:v>3.56</c:v>
                </c:pt>
                <c:pt idx="517">
                  <c:v>3.5545</c:v>
                </c:pt>
                <c:pt idx="518">
                  <c:v>3.56</c:v>
                </c:pt>
                <c:pt idx="519">
                  <c:v>3.5609999999999999</c:v>
                </c:pt>
                <c:pt idx="520">
                  <c:v>3.56</c:v>
                </c:pt>
                <c:pt idx="521">
                  <c:v>3.5550999999999999</c:v>
                </c:pt>
                <c:pt idx="522">
                  <c:v>3.5569999999999999</c:v>
                </c:pt>
                <c:pt idx="523">
                  <c:v>3.5550000000000002</c:v>
                </c:pt>
                <c:pt idx="524">
                  <c:v>3.5588000000000002</c:v>
                </c:pt>
                <c:pt idx="525">
                  <c:v>3.56</c:v>
                </c:pt>
                <c:pt idx="526">
                  <c:v>3.5615999999999999</c:v>
                </c:pt>
                <c:pt idx="527">
                  <c:v>3.5579999999999998</c:v>
                </c:pt>
                <c:pt idx="528">
                  <c:v>3.5598000000000001</c:v>
                </c:pt>
                <c:pt idx="529">
                  <c:v>3.5541</c:v>
                </c:pt>
                <c:pt idx="530">
                  <c:v>3.5550000000000002</c:v>
                </c:pt>
                <c:pt idx="531">
                  <c:v>3.5476000000000001</c:v>
                </c:pt>
                <c:pt idx="532">
                  <c:v>3.5482999999999998</c:v>
                </c:pt>
                <c:pt idx="533">
                  <c:v>3.5543</c:v>
                </c:pt>
                <c:pt idx="534">
                  <c:v>4.0350000000000001</c:v>
                </c:pt>
                <c:pt idx="535">
                  <c:v>4.0303000000000004</c:v>
                </c:pt>
                <c:pt idx="536">
                  <c:v>4.0350000000000001</c:v>
                </c:pt>
                <c:pt idx="537">
                  <c:v>4.0316000000000001</c:v>
                </c:pt>
                <c:pt idx="538">
                  <c:v>4.0507</c:v>
                </c:pt>
                <c:pt idx="539">
                  <c:v>4.0547000000000004</c:v>
                </c:pt>
                <c:pt idx="540">
                  <c:v>4.0555000000000003</c:v>
                </c:pt>
                <c:pt idx="541">
                  <c:v>4.0500999999999996</c:v>
                </c:pt>
                <c:pt idx="542">
                  <c:v>4.0594000000000001</c:v>
                </c:pt>
                <c:pt idx="543">
                  <c:v>4.0576999999999996</c:v>
                </c:pt>
                <c:pt idx="544">
                  <c:v>4.0599999999999996</c:v>
                </c:pt>
                <c:pt idx="545">
                  <c:v>4.0601000000000003</c:v>
                </c:pt>
                <c:pt idx="546">
                  <c:v>4.0640000000000001</c:v>
                </c:pt>
                <c:pt idx="547">
                  <c:v>4.0625</c:v>
                </c:pt>
                <c:pt idx="548">
                  <c:v>4.0606</c:v>
                </c:pt>
                <c:pt idx="549">
                  <c:v>4.0601000000000003</c:v>
                </c:pt>
                <c:pt idx="550">
                  <c:v>4.0606</c:v>
                </c:pt>
                <c:pt idx="551">
                  <c:v>4.0613000000000001</c:v>
                </c:pt>
                <c:pt idx="552">
                  <c:v>4.0625</c:v>
                </c:pt>
                <c:pt idx="553">
                  <c:v>4.0644999999999998</c:v>
                </c:pt>
                <c:pt idx="554">
                  <c:v>4.0647000000000002</c:v>
                </c:pt>
                <c:pt idx="555">
                  <c:v>4.0648</c:v>
                </c:pt>
                <c:pt idx="556">
                  <c:v>4.0659999999999998</c:v>
                </c:pt>
                <c:pt idx="557">
                  <c:v>4.0650000000000004</c:v>
                </c:pt>
                <c:pt idx="558">
                  <c:v>4.0674000000000001</c:v>
                </c:pt>
                <c:pt idx="559">
                  <c:v>4.0650000000000004</c:v>
                </c:pt>
                <c:pt idx="560">
                  <c:v>4.0625</c:v>
                </c:pt>
                <c:pt idx="561">
                  <c:v>4.0650000000000004</c:v>
                </c:pt>
                <c:pt idx="562">
                  <c:v>4.0650000000000004</c:v>
                </c:pt>
                <c:pt idx="563">
                  <c:v>4.0625</c:v>
                </c:pt>
                <c:pt idx="564">
                  <c:v>4.0650000000000004</c:v>
                </c:pt>
                <c:pt idx="565">
                  <c:v>4.0652999999999997</c:v>
                </c:pt>
                <c:pt idx="566">
                  <c:v>4.0660999999999996</c:v>
                </c:pt>
                <c:pt idx="567">
                  <c:v>4.0650000000000004</c:v>
                </c:pt>
                <c:pt idx="568">
                  <c:v>4.0624000000000002</c:v>
                </c:pt>
                <c:pt idx="569">
                  <c:v>4.0625</c:v>
                </c:pt>
                <c:pt idx="570">
                  <c:v>4.0625</c:v>
                </c:pt>
                <c:pt idx="571">
                  <c:v>4.0617999999999999</c:v>
                </c:pt>
                <c:pt idx="572">
                  <c:v>4.0650000000000004</c:v>
                </c:pt>
                <c:pt idx="573">
                  <c:v>4.0650000000000004</c:v>
                </c:pt>
                <c:pt idx="574">
                  <c:v>4.0651999999999999</c:v>
                </c:pt>
                <c:pt idx="575">
                  <c:v>4.0625999999999998</c:v>
                </c:pt>
                <c:pt idx="576">
                  <c:v>4.0650000000000004</c:v>
                </c:pt>
                <c:pt idx="577">
                  <c:v>4.0650000000000004</c:v>
                </c:pt>
                <c:pt idx="578">
                  <c:v>4.0625</c:v>
                </c:pt>
                <c:pt idx="579">
                  <c:v>4.0650000000000004</c:v>
                </c:pt>
                <c:pt idx="580">
                  <c:v>4.0655000000000001</c:v>
                </c:pt>
                <c:pt idx="581">
                  <c:v>4.0650000000000004</c:v>
                </c:pt>
                <c:pt idx="582">
                  <c:v>4.0650000000000004</c:v>
                </c:pt>
                <c:pt idx="583">
                  <c:v>4.0655000000000001</c:v>
                </c:pt>
                <c:pt idx="584">
                  <c:v>4.0650000000000004</c:v>
                </c:pt>
                <c:pt idx="585">
                  <c:v>4.0625</c:v>
                </c:pt>
                <c:pt idx="586">
                  <c:v>4.0632999999999999</c:v>
                </c:pt>
                <c:pt idx="587">
                  <c:v>4.0637999999999996</c:v>
                </c:pt>
                <c:pt idx="588">
                  <c:v>4.0650000000000004</c:v>
                </c:pt>
                <c:pt idx="589">
                  <c:v>4.0610999999999997</c:v>
                </c:pt>
                <c:pt idx="590">
                  <c:v>4.0598999999999998</c:v>
                </c:pt>
                <c:pt idx="591">
                  <c:v>4.0602999999999998</c:v>
                </c:pt>
                <c:pt idx="592">
                  <c:v>4.0606999999999998</c:v>
                </c:pt>
                <c:pt idx="593">
                  <c:v>4.0650000000000004</c:v>
                </c:pt>
                <c:pt idx="594">
                  <c:v>4.0659999999999998</c:v>
                </c:pt>
                <c:pt idx="595">
                  <c:v>4.0650000000000004</c:v>
                </c:pt>
                <c:pt idx="596">
                  <c:v>4.0650000000000004</c:v>
                </c:pt>
                <c:pt idx="597">
                  <c:v>4.0811999999999999</c:v>
                </c:pt>
                <c:pt idx="598">
                  <c:v>4.0774999999999997</c:v>
                </c:pt>
                <c:pt idx="599">
                  <c:v>4.0936000000000003</c:v>
                </c:pt>
                <c:pt idx="600">
                  <c:v>4.1081000000000003</c:v>
                </c:pt>
                <c:pt idx="601">
                  <c:v>4.1124999999999998</c:v>
                </c:pt>
                <c:pt idx="602">
                  <c:v>4.0949999999999998</c:v>
                </c:pt>
                <c:pt idx="603">
                  <c:v>4.0975000000000001</c:v>
                </c:pt>
                <c:pt idx="604">
                  <c:v>4.0970000000000004</c:v>
                </c:pt>
                <c:pt idx="605">
                  <c:v>4.0999999999999996</c:v>
                </c:pt>
                <c:pt idx="606">
                  <c:v>4.0957999999999997</c:v>
                </c:pt>
                <c:pt idx="607">
                  <c:v>4.0964999999999998</c:v>
                </c:pt>
                <c:pt idx="608">
                  <c:v>4.0926</c:v>
                </c:pt>
                <c:pt idx="609">
                  <c:v>4.0914999999999999</c:v>
                </c:pt>
                <c:pt idx="610">
                  <c:v>4.0885999999999996</c:v>
                </c:pt>
                <c:pt idx="611">
                  <c:v>4.0925000000000002</c:v>
                </c:pt>
                <c:pt idx="612">
                  <c:v>4.0869</c:v>
                </c:pt>
                <c:pt idx="613">
                  <c:v>4.0949999999999998</c:v>
                </c:pt>
                <c:pt idx="614">
                  <c:v>4.0986000000000002</c:v>
                </c:pt>
                <c:pt idx="615">
                  <c:v>4.1100000000000003</c:v>
                </c:pt>
                <c:pt idx="616">
                  <c:v>4.1036999999999999</c:v>
                </c:pt>
                <c:pt idx="617">
                  <c:v>4.1045999999999996</c:v>
                </c:pt>
                <c:pt idx="618">
                  <c:v>4.1050000000000004</c:v>
                </c:pt>
                <c:pt idx="619">
                  <c:v>4.1090999999999998</c:v>
                </c:pt>
                <c:pt idx="620">
                  <c:v>4.1100000000000003</c:v>
                </c:pt>
                <c:pt idx="621">
                  <c:v>4.0994999999999999</c:v>
                </c:pt>
                <c:pt idx="622">
                  <c:v>4.0994999999999999</c:v>
                </c:pt>
                <c:pt idx="623">
                  <c:v>4.1041999999999996</c:v>
                </c:pt>
                <c:pt idx="624">
                  <c:v>4.1185</c:v>
                </c:pt>
                <c:pt idx="625">
                  <c:v>4.1131000000000002</c:v>
                </c:pt>
                <c:pt idx="626">
                  <c:v>4.1116000000000001</c:v>
                </c:pt>
                <c:pt idx="627">
                  <c:v>4.1138000000000003</c:v>
                </c:pt>
                <c:pt idx="628">
                  <c:v>4.5599999999999996</c:v>
                </c:pt>
                <c:pt idx="629">
                  <c:v>4.5605000000000002</c:v>
                </c:pt>
                <c:pt idx="630">
                  <c:v>4.5715000000000003</c:v>
                </c:pt>
                <c:pt idx="631">
                  <c:v>4.5774999999999997</c:v>
                </c:pt>
                <c:pt idx="632">
                  <c:v>4.5820999999999996</c:v>
                </c:pt>
                <c:pt idx="633">
                  <c:v>4.5759999999999996</c:v>
                </c:pt>
                <c:pt idx="634">
                  <c:v>4.5758000000000001</c:v>
                </c:pt>
                <c:pt idx="635">
                  <c:v>4.5805999999999996</c:v>
                </c:pt>
                <c:pt idx="636">
                  <c:v>4.585</c:v>
                </c:pt>
                <c:pt idx="637">
                  <c:v>4.5890000000000004</c:v>
                </c:pt>
                <c:pt idx="638">
                  <c:v>4.59</c:v>
                </c:pt>
                <c:pt idx="639">
                  <c:v>4.59</c:v>
                </c:pt>
                <c:pt idx="640">
                  <c:v>4.5875000000000004</c:v>
                </c:pt>
                <c:pt idx="641">
                  <c:v>4.5907999999999998</c:v>
                </c:pt>
                <c:pt idx="642">
                  <c:v>4.5853999999999999</c:v>
                </c:pt>
                <c:pt idx="643">
                  <c:v>4.5849000000000002</c:v>
                </c:pt>
                <c:pt idx="644">
                  <c:v>4.5895000000000001</c:v>
                </c:pt>
                <c:pt idx="645">
                  <c:v>4.59</c:v>
                </c:pt>
                <c:pt idx="646">
                  <c:v>4.5881999999999996</c:v>
                </c:pt>
                <c:pt idx="647">
                  <c:v>4.5873999999999997</c:v>
                </c:pt>
                <c:pt idx="648">
                  <c:v>4.585</c:v>
                </c:pt>
                <c:pt idx="649">
                  <c:v>4.585</c:v>
                </c:pt>
                <c:pt idx="650">
                  <c:v>4.5835999999999997</c:v>
                </c:pt>
                <c:pt idx="651">
                  <c:v>4.5827999999999998</c:v>
                </c:pt>
                <c:pt idx="652">
                  <c:v>4.5873999999999997</c:v>
                </c:pt>
                <c:pt idx="653">
                  <c:v>4.5860000000000003</c:v>
                </c:pt>
                <c:pt idx="654">
                  <c:v>4.5906000000000002</c:v>
                </c:pt>
                <c:pt idx="655">
                  <c:v>4.59</c:v>
                </c:pt>
                <c:pt idx="656">
                  <c:v>4.59</c:v>
                </c:pt>
                <c:pt idx="657">
                  <c:v>4.5875000000000004</c:v>
                </c:pt>
                <c:pt idx="658">
                  <c:v>4.5915999999999997</c:v>
                </c:pt>
                <c:pt idx="659">
                  <c:v>4.5911999999999997</c:v>
                </c:pt>
                <c:pt idx="660">
                  <c:v>4.5911</c:v>
                </c:pt>
                <c:pt idx="661">
                  <c:v>4.5937000000000001</c:v>
                </c:pt>
                <c:pt idx="662">
                  <c:v>4.5949999999999998</c:v>
                </c:pt>
                <c:pt idx="663">
                  <c:v>4.5949999999999998</c:v>
                </c:pt>
                <c:pt idx="664">
                  <c:v>4.5940000000000003</c:v>
                </c:pt>
                <c:pt idx="665">
                  <c:v>4.5949999999999998</c:v>
                </c:pt>
                <c:pt idx="666">
                  <c:v>4.5925000000000002</c:v>
                </c:pt>
                <c:pt idx="667">
                  <c:v>4.5925000000000002</c:v>
                </c:pt>
                <c:pt idx="668">
                  <c:v>4.5949999999999998</c:v>
                </c:pt>
                <c:pt idx="669">
                  <c:v>4.5949999999999998</c:v>
                </c:pt>
                <c:pt idx="670">
                  <c:v>4.5949999999999998</c:v>
                </c:pt>
                <c:pt idx="671">
                  <c:v>4.5949999999999998</c:v>
                </c:pt>
                <c:pt idx="672">
                  <c:v>4.5925000000000002</c:v>
                </c:pt>
                <c:pt idx="673">
                  <c:v>4.5925000000000002</c:v>
                </c:pt>
                <c:pt idx="674">
                  <c:v>4.5949999999999998</c:v>
                </c:pt>
                <c:pt idx="675">
                  <c:v>4.5949999999999998</c:v>
                </c:pt>
                <c:pt idx="676">
                  <c:v>4.5949999999999998</c:v>
                </c:pt>
                <c:pt idx="677">
                  <c:v>4.59</c:v>
                </c:pt>
                <c:pt idx="678">
                  <c:v>4.5906000000000002</c:v>
                </c:pt>
                <c:pt idx="679">
                  <c:v>4.5910000000000002</c:v>
                </c:pt>
                <c:pt idx="680">
                  <c:v>4.5949999999999998</c:v>
                </c:pt>
                <c:pt idx="681">
                  <c:v>4.5949999999999998</c:v>
                </c:pt>
                <c:pt idx="682">
                  <c:v>4.5949999999999998</c:v>
                </c:pt>
                <c:pt idx="683">
                  <c:v>4.5951000000000004</c:v>
                </c:pt>
                <c:pt idx="684">
                  <c:v>4.625</c:v>
                </c:pt>
                <c:pt idx="685">
                  <c:v>4.6275000000000004</c:v>
                </c:pt>
                <c:pt idx="686">
                  <c:v>4.6342999999999996</c:v>
                </c:pt>
                <c:pt idx="687">
                  <c:v>4.6388999999999996</c:v>
                </c:pt>
                <c:pt idx="688">
                  <c:v>4.6368999999999998</c:v>
                </c:pt>
                <c:pt idx="689">
                  <c:v>4.6398999999999999</c:v>
                </c:pt>
                <c:pt idx="690">
                  <c:v>4.6439000000000004</c:v>
                </c:pt>
                <c:pt idx="691">
                  <c:v>4.6683000000000003</c:v>
                </c:pt>
                <c:pt idx="692">
                  <c:v>5.0724999999999998</c:v>
                </c:pt>
                <c:pt idx="693">
                  <c:v>5.0934999999999997</c:v>
                </c:pt>
                <c:pt idx="694">
                  <c:v>5.0975000000000001</c:v>
                </c:pt>
                <c:pt idx="695">
                  <c:v>5.1025</c:v>
                </c:pt>
                <c:pt idx="696">
                  <c:v>5.1050000000000004</c:v>
                </c:pt>
                <c:pt idx="697">
                  <c:v>5.1100000000000003</c:v>
                </c:pt>
                <c:pt idx="698">
                  <c:v>5.1064999999999996</c:v>
                </c:pt>
                <c:pt idx="699">
                  <c:v>5.1069000000000004</c:v>
                </c:pt>
                <c:pt idx="700">
                  <c:v>5.1121999999999996</c:v>
                </c:pt>
                <c:pt idx="701">
                  <c:v>5.1100000000000003</c:v>
                </c:pt>
                <c:pt idx="702">
                  <c:v>5.1115000000000004</c:v>
                </c:pt>
                <c:pt idx="703">
                  <c:v>5.1100000000000003</c:v>
                </c:pt>
                <c:pt idx="704">
                  <c:v>5.1134000000000004</c:v>
                </c:pt>
                <c:pt idx="705">
                  <c:v>5.1124999999999998</c:v>
                </c:pt>
                <c:pt idx="706">
                  <c:v>5.1150000000000002</c:v>
                </c:pt>
                <c:pt idx="707">
                  <c:v>5.1246999999999998</c:v>
                </c:pt>
                <c:pt idx="708">
                  <c:v>5.1177999999999999</c:v>
                </c:pt>
                <c:pt idx="709">
                  <c:v>5.1154999999999999</c:v>
                </c:pt>
                <c:pt idx="710">
                  <c:v>5.1162000000000001</c:v>
                </c:pt>
                <c:pt idx="711">
                  <c:v>5.1162999999999998</c:v>
                </c:pt>
                <c:pt idx="712">
                  <c:v>5.1102999999999996</c:v>
                </c:pt>
                <c:pt idx="713">
                  <c:v>5.1086</c:v>
                </c:pt>
                <c:pt idx="714">
                  <c:v>5.1143000000000001</c:v>
                </c:pt>
                <c:pt idx="715">
                  <c:v>5.1117999999999997</c:v>
                </c:pt>
                <c:pt idx="716">
                  <c:v>5.1135999999999999</c:v>
                </c:pt>
                <c:pt idx="717">
                  <c:v>5.1150000000000002</c:v>
                </c:pt>
                <c:pt idx="718">
                  <c:v>5.1173000000000002</c:v>
                </c:pt>
                <c:pt idx="719">
                  <c:v>5.2018000000000004</c:v>
                </c:pt>
                <c:pt idx="720">
                  <c:v>5.2359</c:v>
                </c:pt>
                <c:pt idx="721">
                  <c:v>5.2469999999999999</c:v>
                </c:pt>
                <c:pt idx="722">
                  <c:v>5.2850000000000001</c:v>
                </c:pt>
                <c:pt idx="723">
                  <c:v>5.31</c:v>
                </c:pt>
                <c:pt idx="724">
                  <c:v>5.35</c:v>
                </c:pt>
                <c:pt idx="725">
                  <c:v>5.38</c:v>
                </c:pt>
                <c:pt idx="726">
                  <c:v>5.5949999999999998</c:v>
                </c:pt>
                <c:pt idx="727">
                  <c:v>5.5750000000000002</c:v>
                </c:pt>
                <c:pt idx="728">
                  <c:v>5.5724999999999998</c:v>
                </c:pt>
                <c:pt idx="729">
                  <c:v>5.5762</c:v>
                </c:pt>
                <c:pt idx="730">
                  <c:v>5.5750000000000002</c:v>
                </c:pt>
                <c:pt idx="731">
                  <c:v>5.5677000000000003</c:v>
                </c:pt>
                <c:pt idx="732">
                  <c:v>5.5738000000000003</c:v>
                </c:pt>
                <c:pt idx="733">
                  <c:v>5.5735000000000001</c:v>
                </c:pt>
                <c:pt idx="734">
                  <c:v>5.585</c:v>
                </c:pt>
                <c:pt idx="735">
                  <c:v>5.5890000000000004</c:v>
                </c:pt>
                <c:pt idx="736">
                  <c:v>5.5949999999999998</c:v>
                </c:pt>
                <c:pt idx="737">
                  <c:v>5.6035000000000004</c:v>
                </c:pt>
                <c:pt idx="738">
                  <c:v>5.5983000000000001</c:v>
                </c:pt>
                <c:pt idx="739">
                  <c:v>5.6050000000000004</c:v>
                </c:pt>
                <c:pt idx="740">
                  <c:v>5.6013000000000002</c:v>
                </c:pt>
                <c:pt idx="741">
                  <c:v>5.6018999999999997</c:v>
                </c:pt>
                <c:pt idx="742">
                  <c:v>5.6048999999999998</c:v>
                </c:pt>
                <c:pt idx="743">
                  <c:v>5.6273999999999997</c:v>
                </c:pt>
                <c:pt idx="744">
                  <c:v>6.0803000000000003</c:v>
                </c:pt>
                <c:pt idx="745">
                  <c:v>6.0925000000000002</c:v>
                </c:pt>
                <c:pt idx="746">
                  <c:v>6.1025</c:v>
                </c:pt>
                <c:pt idx="747">
                  <c:v>6.1074999999999999</c:v>
                </c:pt>
                <c:pt idx="748">
                  <c:v>6.1050000000000004</c:v>
                </c:pt>
                <c:pt idx="749">
                  <c:v>6.11</c:v>
                </c:pt>
                <c:pt idx="750">
                  <c:v>6.11</c:v>
                </c:pt>
                <c:pt idx="751">
                  <c:v>6.11</c:v>
                </c:pt>
                <c:pt idx="752">
                  <c:v>6.11</c:v>
                </c:pt>
                <c:pt idx="753">
                  <c:v>6.1066000000000003</c:v>
                </c:pt>
                <c:pt idx="754">
                  <c:v>6.11</c:v>
                </c:pt>
                <c:pt idx="755">
                  <c:v>6.11</c:v>
                </c:pt>
                <c:pt idx="756">
                  <c:v>6.1150000000000002</c:v>
                </c:pt>
                <c:pt idx="757">
                  <c:v>6.12</c:v>
                </c:pt>
                <c:pt idx="758">
                  <c:v>6.12</c:v>
                </c:pt>
                <c:pt idx="759">
                  <c:v>6.12</c:v>
                </c:pt>
                <c:pt idx="760">
                  <c:v>6.1150000000000002</c:v>
                </c:pt>
                <c:pt idx="761">
                  <c:v>6.1150000000000002</c:v>
                </c:pt>
                <c:pt idx="762">
                  <c:v>6.1150000000000002</c:v>
                </c:pt>
                <c:pt idx="763">
                  <c:v>6.1150000000000002</c:v>
                </c:pt>
                <c:pt idx="764">
                  <c:v>6.1174999999999997</c:v>
                </c:pt>
                <c:pt idx="765">
                  <c:v>6.1185999999999998</c:v>
                </c:pt>
                <c:pt idx="766">
                  <c:v>6.1276000000000002</c:v>
                </c:pt>
                <c:pt idx="767">
                  <c:v>6.13</c:v>
                </c:pt>
                <c:pt idx="768">
                  <c:v>6.1375000000000002</c:v>
                </c:pt>
                <c:pt idx="769">
                  <c:v>6.1386000000000003</c:v>
                </c:pt>
                <c:pt idx="770">
                  <c:v>6.1424000000000003</c:v>
                </c:pt>
                <c:pt idx="771">
                  <c:v>6.1475</c:v>
                </c:pt>
                <c:pt idx="772">
                  <c:v>6.1475</c:v>
                </c:pt>
                <c:pt idx="773">
                  <c:v>6.1475</c:v>
                </c:pt>
                <c:pt idx="774">
                  <c:v>6.1536999999999997</c:v>
                </c:pt>
                <c:pt idx="775">
                  <c:v>6.1524999999999999</c:v>
                </c:pt>
                <c:pt idx="776">
                  <c:v>6.16</c:v>
                </c:pt>
                <c:pt idx="777">
                  <c:v>6.1615000000000002</c:v>
                </c:pt>
                <c:pt idx="778">
                  <c:v>6.1624999999999996</c:v>
                </c:pt>
                <c:pt idx="779">
                  <c:v>6.1703000000000001</c:v>
                </c:pt>
                <c:pt idx="780">
                  <c:v>6.1695000000000002</c:v>
                </c:pt>
                <c:pt idx="781">
                  <c:v>6.1822999999999997</c:v>
                </c:pt>
                <c:pt idx="782">
                  <c:v>6.1958000000000002</c:v>
                </c:pt>
                <c:pt idx="783">
                  <c:v>6.585</c:v>
                </c:pt>
                <c:pt idx="784">
                  <c:v>6.5871000000000004</c:v>
                </c:pt>
                <c:pt idx="785">
                  <c:v>6.5880000000000001</c:v>
                </c:pt>
                <c:pt idx="786">
                  <c:v>6.5949999999999998</c:v>
                </c:pt>
                <c:pt idx="787">
                  <c:v>6.5949999999999998</c:v>
                </c:pt>
                <c:pt idx="788">
                  <c:v>6.5949999999999998</c:v>
                </c:pt>
                <c:pt idx="789">
                  <c:v>6.5964999999999998</c:v>
                </c:pt>
                <c:pt idx="790">
                  <c:v>6.5949999999999998</c:v>
                </c:pt>
                <c:pt idx="791">
                  <c:v>6.59</c:v>
                </c:pt>
                <c:pt idx="792">
                  <c:v>6.6</c:v>
                </c:pt>
                <c:pt idx="793">
                  <c:v>6.6029999999999998</c:v>
                </c:pt>
                <c:pt idx="794">
                  <c:v>6.6050000000000004</c:v>
                </c:pt>
                <c:pt idx="795">
                  <c:v>6.6058000000000003</c:v>
                </c:pt>
                <c:pt idx="796">
                  <c:v>6.6066000000000003</c:v>
                </c:pt>
                <c:pt idx="797">
                  <c:v>6.6102999999999996</c:v>
                </c:pt>
                <c:pt idx="798">
                  <c:v>6.6074999999999999</c:v>
                </c:pt>
                <c:pt idx="799">
                  <c:v>6.6075999999999997</c:v>
                </c:pt>
                <c:pt idx="800">
                  <c:v>6.6071999999999997</c:v>
                </c:pt>
                <c:pt idx="801">
                  <c:v>6.6050000000000004</c:v>
                </c:pt>
                <c:pt idx="802">
                  <c:v>6.6063999999999998</c:v>
                </c:pt>
                <c:pt idx="803">
                  <c:v>6.61</c:v>
                </c:pt>
                <c:pt idx="804">
                  <c:v>6.62</c:v>
                </c:pt>
                <c:pt idx="805">
                  <c:v>6.62</c:v>
                </c:pt>
                <c:pt idx="806">
                  <c:v>6.6266999999999996</c:v>
                </c:pt>
                <c:pt idx="807">
                  <c:v>6.6336000000000004</c:v>
                </c:pt>
                <c:pt idx="808">
                  <c:v>6.6355000000000004</c:v>
                </c:pt>
                <c:pt idx="809">
                  <c:v>6.6425000000000001</c:v>
                </c:pt>
                <c:pt idx="810">
                  <c:v>6.6437999999999997</c:v>
                </c:pt>
                <c:pt idx="811">
                  <c:v>6.6437999999999997</c:v>
                </c:pt>
                <c:pt idx="812">
                  <c:v>6.6325000000000003</c:v>
                </c:pt>
                <c:pt idx="813">
                  <c:v>6.6413000000000002</c:v>
                </c:pt>
                <c:pt idx="814">
                  <c:v>6.66</c:v>
                </c:pt>
                <c:pt idx="815">
                  <c:v>6.6692999999999998</c:v>
                </c:pt>
                <c:pt idx="816">
                  <c:v>6.6795999999999998</c:v>
                </c:pt>
                <c:pt idx="817">
                  <c:v>6.835</c:v>
                </c:pt>
                <c:pt idx="818">
                  <c:v>6.8411999999999997</c:v>
                </c:pt>
                <c:pt idx="819">
                  <c:v>6.8490000000000002</c:v>
                </c:pt>
                <c:pt idx="820">
                  <c:v>6.8448000000000002</c:v>
                </c:pt>
                <c:pt idx="821">
                  <c:v>6.8524000000000003</c:v>
                </c:pt>
                <c:pt idx="822">
                  <c:v>6.8491999999999997</c:v>
                </c:pt>
                <c:pt idx="823">
                  <c:v>6.8550000000000004</c:v>
                </c:pt>
                <c:pt idx="824">
                  <c:v>6.8559000000000001</c:v>
                </c:pt>
                <c:pt idx="825">
                  <c:v>6.86</c:v>
                </c:pt>
                <c:pt idx="826">
                  <c:v>6.87</c:v>
                </c:pt>
                <c:pt idx="827">
                  <c:v>6.8724999999999996</c:v>
                </c:pt>
                <c:pt idx="828">
                  <c:v>6.8724999999999996</c:v>
                </c:pt>
                <c:pt idx="829">
                  <c:v>6.88</c:v>
                </c:pt>
                <c:pt idx="830">
                  <c:v>6.88</c:v>
                </c:pt>
                <c:pt idx="831">
                  <c:v>6.8860000000000001</c:v>
                </c:pt>
                <c:pt idx="832">
                  <c:v>6.8929</c:v>
                </c:pt>
                <c:pt idx="833">
                  <c:v>6.9013</c:v>
                </c:pt>
                <c:pt idx="834">
                  <c:v>6.8925000000000001</c:v>
                </c:pt>
                <c:pt idx="835">
                  <c:v>6.8935000000000004</c:v>
                </c:pt>
                <c:pt idx="836">
                  <c:v>6.8954000000000004</c:v>
                </c:pt>
                <c:pt idx="837">
                  <c:v>6.8967000000000001</c:v>
                </c:pt>
                <c:pt idx="838">
                  <c:v>6.8952</c:v>
                </c:pt>
                <c:pt idx="839">
                  <c:v>6.8947000000000003</c:v>
                </c:pt>
                <c:pt idx="840">
                  <c:v>6.89</c:v>
                </c:pt>
                <c:pt idx="841">
                  <c:v>6.8898000000000001</c:v>
                </c:pt>
                <c:pt idx="842">
                  <c:v>6.8929999999999998</c:v>
                </c:pt>
                <c:pt idx="843">
                  <c:v>6.8949999999999996</c:v>
                </c:pt>
                <c:pt idx="844">
                  <c:v>6.8906000000000001</c:v>
                </c:pt>
                <c:pt idx="845">
                  <c:v>6.8884999999999996</c:v>
                </c:pt>
                <c:pt idx="846">
                  <c:v>6.8875999999999999</c:v>
                </c:pt>
                <c:pt idx="847">
                  <c:v>6.8857999999999997</c:v>
                </c:pt>
                <c:pt idx="848">
                  <c:v>6.8895999999999997</c:v>
                </c:pt>
                <c:pt idx="849">
                  <c:v>7.0979000000000001</c:v>
                </c:pt>
                <c:pt idx="850">
                  <c:v>7.1144999999999996</c:v>
                </c:pt>
                <c:pt idx="851">
                  <c:v>7.12</c:v>
                </c:pt>
                <c:pt idx="852">
                  <c:v>7.13</c:v>
                </c:pt>
                <c:pt idx="853">
                  <c:v>7.1334999999999997</c:v>
                </c:pt>
                <c:pt idx="854">
                  <c:v>7.14</c:v>
                </c:pt>
                <c:pt idx="855">
                  <c:v>7.1449999999999996</c:v>
                </c:pt>
                <c:pt idx="856">
                  <c:v>7.1471</c:v>
                </c:pt>
                <c:pt idx="857">
                  <c:v>7.15</c:v>
                </c:pt>
                <c:pt idx="858">
                  <c:v>7.15</c:v>
                </c:pt>
                <c:pt idx="859">
                  <c:v>7.1555999999999997</c:v>
                </c:pt>
                <c:pt idx="860">
                  <c:v>7.1550000000000002</c:v>
                </c:pt>
                <c:pt idx="861">
                  <c:v>7.16</c:v>
                </c:pt>
                <c:pt idx="862">
                  <c:v>7.1585000000000001</c:v>
                </c:pt>
                <c:pt idx="863">
                  <c:v>7.1647999999999996</c:v>
                </c:pt>
                <c:pt idx="864">
                  <c:v>7.1661000000000001</c:v>
                </c:pt>
                <c:pt idx="865">
                  <c:v>7.19</c:v>
                </c:pt>
                <c:pt idx="866">
                  <c:v>7.1875</c:v>
                </c:pt>
                <c:pt idx="867">
                  <c:v>7.1872999999999996</c:v>
                </c:pt>
                <c:pt idx="868">
                  <c:v>7.1849999999999996</c:v>
                </c:pt>
                <c:pt idx="869">
                  <c:v>7.1898999999999997</c:v>
                </c:pt>
                <c:pt idx="870">
                  <c:v>7.1928999999999998</c:v>
                </c:pt>
                <c:pt idx="871">
                  <c:v>7.1974999999999998</c:v>
                </c:pt>
                <c:pt idx="872">
                  <c:v>7.202</c:v>
                </c:pt>
                <c:pt idx="873">
                  <c:v>7.21</c:v>
                </c:pt>
                <c:pt idx="874">
                  <c:v>7.3464999999999998</c:v>
                </c:pt>
                <c:pt idx="875">
                  <c:v>7.34</c:v>
                </c:pt>
                <c:pt idx="876">
                  <c:v>7.33</c:v>
                </c:pt>
                <c:pt idx="877">
                  <c:v>7.3491999999999997</c:v>
                </c:pt>
                <c:pt idx="878">
                  <c:v>7.36</c:v>
                </c:pt>
                <c:pt idx="879">
                  <c:v>7.3650000000000002</c:v>
                </c:pt>
                <c:pt idx="880">
                  <c:v>7.3696000000000002</c:v>
                </c:pt>
                <c:pt idx="881">
                  <c:v>7.37</c:v>
                </c:pt>
                <c:pt idx="882">
                  <c:v>7.37</c:v>
                </c:pt>
                <c:pt idx="883">
                  <c:v>7.3691000000000004</c:v>
                </c:pt>
                <c:pt idx="884">
                  <c:v>7.3650000000000002</c:v>
                </c:pt>
                <c:pt idx="885">
                  <c:v>7.3526999999999996</c:v>
                </c:pt>
                <c:pt idx="886">
                  <c:v>7.3525</c:v>
                </c:pt>
                <c:pt idx="887">
                  <c:v>7.3425000000000002</c:v>
                </c:pt>
                <c:pt idx="888">
                  <c:v>7.3550000000000004</c:v>
                </c:pt>
                <c:pt idx="889">
                  <c:v>7.3612000000000002</c:v>
                </c:pt>
                <c:pt idx="890">
                  <c:v>7.3650000000000002</c:v>
                </c:pt>
                <c:pt idx="891">
                  <c:v>7.3674999999999997</c:v>
                </c:pt>
                <c:pt idx="892">
                  <c:v>7.3674999999999997</c:v>
                </c:pt>
                <c:pt idx="893">
                  <c:v>7.3750999999999998</c:v>
                </c:pt>
                <c:pt idx="894">
                  <c:v>7.3674999999999997</c:v>
                </c:pt>
                <c:pt idx="895">
                  <c:v>7.3724999999999996</c:v>
                </c:pt>
                <c:pt idx="896">
                  <c:v>7.3724999999999996</c:v>
                </c:pt>
                <c:pt idx="897">
                  <c:v>7.3762999999999996</c:v>
                </c:pt>
                <c:pt idx="898">
                  <c:v>7.3760000000000003</c:v>
                </c:pt>
                <c:pt idx="899">
                  <c:v>7.3811</c:v>
                </c:pt>
                <c:pt idx="900">
                  <c:v>7.3775000000000004</c:v>
                </c:pt>
                <c:pt idx="901">
                  <c:v>7.375</c:v>
                </c:pt>
                <c:pt idx="902">
                  <c:v>7.3715000000000002</c:v>
                </c:pt>
                <c:pt idx="903">
                  <c:v>7.3730000000000002</c:v>
                </c:pt>
                <c:pt idx="904">
                  <c:v>7.3775000000000004</c:v>
                </c:pt>
                <c:pt idx="905">
                  <c:v>7.3724999999999996</c:v>
                </c:pt>
                <c:pt idx="906">
                  <c:v>7.3780000000000001</c:v>
                </c:pt>
                <c:pt idx="907">
                  <c:v>7.3810000000000002</c:v>
                </c:pt>
                <c:pt idx="908">
                  <c:v>7.3811</c:v>
                </c:pt>
                <c:pt idx="909">
                  <c:v>7.375</c:v>
                </c:pt>
                <c:pt idx="910">
                  <c:v>7.3720999999999997</c:v>
                </c:pt>
                <c:pt idx="911">
                  <c:v>7.3784999999999998</c:v>
                </c:pt>
                <c:pt idx="912">
                  <c:v>7.3780999999999999</c:v>
                </c:pt>
                <c:pt idx="913">
                  <c:v>7.3761999999999999</c:v>
                </c:pt>
                <c:pt idx="914">
                  <c:v>7.3799000000000001</c:v>
                </c:pt>
                <c:pt idx="915">
                  <c:v>7.3775000000000004</c:v>
                </c:pt>
                <c:pt idx="916">
                  <c:v>7.375</c:v>
                </c:pt>
                <c:pt idx="917">
                  <c:v>7.3724999999999996</c:v>
                </c:pt>
                <c:pt idx="918">
                  <c:v>7.37</c:v>
                </c:pt>
                <c:pt idx="919">
                  <c:v>7.3724999999999996</c:v>
                </c:pt>
                <c:pt idx="920">
                  <c:v>7.3708999999999998</c:v>
                </c:pt>
                <c:pt idx="921">
                  <c:v>7.3708</c:v>
                </c:pt>
                <c:pt idx="922">
                  <c:v>7.3825000000000003</c:v>
                </c:pt>
                <c:pt idx="923">
                  <c:v>7.3780000000000001</c:v>
                </c:pt>
                <c:pt idx="924">
                  <c:v>7.3768000000000002</c:v>
                </c:pt>
                <c:pt idx="925">
                  <c:v>7.3724999999999996</c:v>
                </c:pt>
                <c:pt idx="926">
                  <c:v>7.3726000000000003</c:v>
                </c:pt>
                <c:pt idx="927">
                  <c:v>7.3775000000000004</c:v>
                </c:pt>
                <c:pt idx="928">
                  <c:v>7.3689999999999998</c:v>
                </c:pt>
                <c:pt idx="929">
                  <c:v>7.375</c:v>
                </c:pt>
                <c:pt idx="930">
                  <c:v>7.3724999999999996</c:v>
                </c:pt>
                <c:pt idx="931">
                  <c:v>7.375</c:v>
                </c:pt>
                <c:pt idx="932">
                  <c:v>7.37</c:v>
                </c:pt>
                <c:pt idx="933">
                  <c:v>7.3765000000000001</c:v>
                </c:pt>
                <c:pt idx="934">
                  <c:v>7.375</c:v>
                </c:pt>
                <c:pt idx="935">
                  <c:v>7.3760000000000003</c:v>
                </c:pt>
                <c:pt idx="936">
                  <c:v>7.3775000000000004</c:v>
                </c:pt>
                <c:pt idx="937">
                  <c:v>7.3800999999999997</c:v>
                </c:pt>
                <c:pt idx="938">
                  <c:v>7.3766999999999996</c:v>
                </c:pt>
                <c:pt idx="939">
                  <c:v>7.3818000000000001</c:v>
                </c:pt>
                <c:pt idx="940">
                  <c:v>7.3784000000000001</c:v>
                </c:pt>
                <c:pt idx="941">
                  <c:v>7.3849999999999998</c:v>
                </c:pt>
                <c:pt idx="942">
                  <c:v>7.38</c:v>
                </c:pt>
                <c:pt idx="943">
                  <c:v>7.3794000000000004</c:v>
                </c:pt>
                <c:pt idx="944">
                  <c:v>7.3724999999999996</c:v>
                </c:pt>
                <c:pt idx="945">
                  <c:v>7.3724999999999996</c:v>
                </c:pt>
                <c:pt idx="946">
                  <c:v>7.3674999999999997</c:v>
                </c:pt>
                <c:pt idx="947">
                  <c:v>7.3761999999999999</c:v>
                </c:pt>
                <c:pt idx="948">
                  <c:v>7.3757000000000001</c:v>
                </c:pt>
                <c:pt idx="949">
                  <c:v>7.3754999999999997</c:v>
                </c:pt>
                <c:pt idx="950">
                  <c:v>7.3773</c:v>
                </c:pt>
                <c:pt idx="951">
                  <c:v>7.3798000000000004</c:v>
                </c:pt>
                <c:pt idx="952">
                  <c:v>7.3819999999999997</c:v>
                </c:pt>
                <c:pt idx="953">
                  <c:v>7.3865999999999996</c:v>
                </c:pt>
                <c:pt idx="954">
                  <c:v>7.38</c:v>
                </c:pt>
                <c:pt idx="955">
                  <c:v>7.3765000000000001</c:v>
                </c:pt>
                <c:pt idx="956">
                  <c:v>7.3825000000000003</c:v>
                </c:pt>
                <c:pt idx="957">
                  <c:v>7.3875000000000002</c:v>
                </c:pt>
                <c:pt idx="958">
                  <c:v>7.3849999999999998</c:v>
                </c:pt>
                <c:pt idx="959">
                  <c:v>7.3849999999999998</c:v>
                </c:pt>
                <c:pt idx="960">
                  <c:v>7.3762999999999996</c:v>
                </c:pt>
                <c:pt idx="961">
                  <c:v>7.3804999999999996</c:v>
                </c:pt>
                <c:pt idx="962">
                  <c:v>7.3836000000000004</c:v>
                </c:pt>
                <c:pt idx="963">
                  <c:v>7.38</c:v>
                </c:pt>
                <c:pt idx="964">
                  <c:v>7.3724999999999996</c:v>
                </c:pt>
                <c:pt idx="965">
                  <c:v>7.3825000000000003</c:v>
                </c:pt>
                <c:pt idx="966">
                  <c:v>7.375</c:v>
                </c:pt>
                <c:pt idx="967">
                  <c:v>7.3743999999999996</c:v>
                </c:pt>
                <c:pt idx="968">
                  <c:v>7.3798000000000004</c:v>
                </c:pt>
                <c:pt idx="969">
                  <c:v>7.3830999999999998</c:v>
                </c:pt>
                <c:pt idx="970">
                  <c:v>7.3775000000000004</c:v>
                </c:pt>
                <c:pt idx="971">
                  <c:v>7.3837999999999999</c:v>
                </c:pt>
                <c:pt idx="972">
                  <c:v>7.3834</c:v>
                </c:pt>
                <c:pt idx="973">
                  <c:v>7.3825000000000003</c:v>
                </c:pt>
                <c:pt idx="974">
                  <c:v>7.3769999999999998</c:v>
                </c:pt>
                <c:pt idx="975">
                  <c:v>7.38</c:v>
                </c:pt>
                <c:pt idx="976">
                  <c:v>7.3806000000000003</c:v>
                </c:pt>
                <c:pt idx="977">
                  <c:v>7.3795999999999999</c:v>
                </c:pt>
                <c:pt idx="978">
                  <c:v>7.3766999999999996</c:v>
                </c:pt>
                <c:pt idx="979">
                  <c:v>7.3734999999999999</c:v>
                </c:pt>
                <c:pt idx="980">
                  <c:v>7.3714000000000004</c:v>
                </c:pt>
                <c:pt idx="981">
                  <c:v>7.3832000000000004</c:v>
                </c:pt>
                <c:pt idx="982">
                  <c:v>7.3825000000000003</c:v>
                </c:pt>
                <c:pt idx="983">
                  <c:v>7.3823999999999996</c:v>
                </c:pt>
                <c:pt idx="984">
                  <c:v>7.3825000000000003</c:v>
                </c:pt>
                <c:pt idx="985">
                  <c:v>7.3875000000000002</c:v>
                </c:pt>
                <c:pt idx="986">
                  <c:v>7.3910999999999998</c:v>
                </c:pt>
                <c:pt idx="987">
                  <c:v>7.3855000000000004</c:v>
                </c:pt>
                <c:pt idx="988">
                  <c:v>7.3879999999999999</c:v>
                </c:pt>
                <c:pt idx="989">
                  <c:v>7.3875000000000002</c:v>
                </c:pt>
                <c:pt idx="990">
                  <c:v>7.3925000000000001</c:v>
                </c:pt>
                <c:pt idx="991">
                  <c:v>7.3916000000000004</c:v>
                </c:pt>
                <c:pt idx="992">
                  <c:v>7.4009999999999998</c:v>
                </c:pt>
                <c:pt idx="993">
                  <c:v>7.4275000000000002</c:v>
                </c:pt>
                <c:pt idx="994">
                  <c:v>7.45</c:v>
                </c:pt>
                <c:pt idx="995">
                  <c:v>7.46</c:v>
                </c:pt>
                <c:pt idx="996">
                  <c:v>7.5949999999999998</c:v>
                </c:pt>
                <c:pt idx="997">
                  <c:v>7.6003999999999996</c:v>
                </c:pt>
                <c:pt idx="998">
                  <c:v>7.6069000000000004</c:v>
                </c:pt>
                <c:pt idx="999">
                  <c:v>7.6109</c:v>
                </c:pt>
                <c:pt idx="1000">
                  <c:v>7.6177000000000001</c:v>
                </c:pt>
                <c:pt idx="1001">
                  <c:v>7.6210000000000004</c:v>
                </c:pt>
                <c:pt idx="1002">
                  <c:v>7.6239999999999997</c:v>
                </c:pt>
                <c:pt idx="1003">
                  <c:v>7.625</c:v>
                </c:pt>
                <c:pt idx="1004">
                  <c:v>7.6241000000000003</c:v>
                </c:pt>
                <c:pt idx="1005">
                  <c:v>7.6311</c:v>
                </c:pt>
                <c:pt idx="1006">
                  <c:v>7.6275000000000004</c:v>
                </c:pt>
                <c:pt idx="1007">
                  <c:v>7.625</c:v>
                </c:pt>
                <c:pt idx="1008">
                  <c:v>7.625</c:v>
                </c:pt>
                <c:pt idx="1009">
                  <c:v>7.6292</c:v>
                </c:pt>
                <c:pt idx="1010">
                  <c:v>7.6281999999999996</c:v>
                </c:pt>
                <c:pt idx="1011">
                  <c:v>7.63</c:v>
                </c:pt>
                <c:pt idx="1012">
                  <c:v>7.6298000000000004</c:v>
                </c:pt>
                <c:pt idx="1013">
                  <c:v>7.6299000000000001</c:v>
                </c:pt>
                <c:pt idx="1014">
                  <c:v>7.6325000000000003</c:v>
                </c:pt>
                <c:pt idx="1015">
                  <c:v>7.6342999999999996</c:v>
                </c:pt>
                <c:pt idx="1016">
                  <c:v>7.6287000000000003</c:v>
                </c:pt>
                <c:pt idx="1017">
                  <c:v>7.6334</c:v>
                </c:pt>
                <c:pt idx="1018">
                  <c:v>7.6318000000000001</c:v>
                </c:pt>
                <c:pt idx="1019">
                  <c:v>7.6349999999999998</c:v>
                </c:pt>
                <c:pt idx="1020">
                  <c:v>7.6428000000000003</c:v>
                </c:pt>
                <c:pt idx="1021">
                  <c:v>7.6449999999999996</c:v>
                </c:pt>
                <c:pt idx="1022">
                  <c:v>7.6475</c:v>
                </c:pt>
                <c:pt idx="1023">
                  <c:v>7.6440999999999999</c:v>
                </c:pt>
                <c:pt idx="1024">
                  <c:v>7.6449999999999996</c:v>
                </c:pt>
                <c:pt idx="1025">
                  <c:v>7.6550000000000002</c:v>
                </c:pt>
                <c:pt idx="1026">
                  <c:v>7.6624999999999996</c:v>
                </c:pt>
                <c:pt idx="1027">
                  <c:v>7.66</c:v>
                </c:pt>
                <c:pt idx="1028">
                  <c:v>7.6642999999999999</c:v>
                </c:pt>
                <c:pt idx="1029">
                  <c:v>7.665</c:v>
                </c:pt>
                <c:pt idx="1030">
                  <c:v>7.6749999999999998</c:v>
                </c:pt>
                <c:pt idx="1031">
                  <c:v>7.6862000000000004</c:v>
                </c:pt>
                <c:pt idx="1032">
                  <c:v>7.7055999999999996</c:v>
                </c:pt>
                <c:pt idx="1033">
                  <c:v>7.84</c:v>
                </c:pt>
                <c:pt idx="1034">
                  <c:v>7.84</c:v>
                </c:pt>
                <c:pt idx="1035">
                  <c:v>7.8319999999999999</c:v>
                </c:pt>
                <c:pt idx="1036">
                  <c:v>7.835</c:v>
                </c:pt>
                <c:pt idx="1037">
                  <c:v>7.8324999999999996</c:v>
                </c:pt>
                <c:pt idx="1038">
                  <c:v>7.8250000000000002</c:v>
                </c:pt>
                <c:pt idx="1039">
                  <c:v>7.8125</c:v>
                </c:pt>
                <c:pt idx="1040">
                  <c:v>7.8311999999999999</c:v>
                </c:pt>
                <c:pt idx="1041">
                  <c:v>7.83</c:v>
                </c:pt>
                <c:pt idx="1042">
                  <c:v>7.8324999999999996</c:v>
                </c:pt>
                <c:pt idx="1043">
                  <c:v>7.8250000000000002</c:v>
                </c:pt>
                <c:pt idx="1044">
                  <c:v>7.8331</c:v>
                </c:pt>
                <c:pt idx="1045">
                  <c:v>7.8315000000000001</c:v>
                </c:pt>
                <c:pt idx="1046">
                  <c:v>7.8293999999999997</c:v>
                </c:pt>
                <c:pt idx="1047">
                  <c:v>7.8243999999999998</c:v>
                </c:pt>
                <c:pt idx="1048">
                  <c:v>7.8315999999999999</c:v>
                </c:pt>
                <c:pt idx="1049">
                  <c:v>7.8224999999999998</c:v>
                </c:pt>
                <c:pt idx="1050">
                  <c:v>7.8299000000000003</c:v>
                </c:pt>
                <c:pt idx="1051">
                  <c:v>7.83</c:v>
                </c:pt>
                <c:pt idx="1052">
                  <c:v>7.8395999999999999</c:v>
                </c:pt>
                <c:pt idx="1053">
                  <c:v>7.8395000000000001</c:v>
                </c:pt>
                <c:pt idx="1054">
                  <c:v>7.8250000000000002</c:v>
                </c:pt>
                <c:pt idx="1055">
                  <c:v>7.83</c:v>
                </c:pt>
                <c:pt idx="1056">
                  <c:v>7.83</c:v>
                </c:pt>
                <c:pt idx="1057">
                  <c:v>7.8250000000000002</c:v>
                </c:pt>
                <c:pt idx="1058">
                  <c:v>7.8324999999999996</c:v>
                </c:pt>
                <c:pt idx="1059">
                  <c:v>7.8381999999999996</c:v>
                </c:pt>
                <c:pt idx="1060">
                  <c:v>7.8414000000000001</c:v>
                </c:pt>
                <c:pt idx="1061">
                  <c:v>7.8425000000000002</c:v>
                </c:pt>
                <c:pt idx="1062">
                  <c:v>7.8425000000000002</c:v>
                </c:pt>
                <c:pt idx="1063">
                  <c:v>7.8463000000000003</c:v>
                </c:pt>
                <c:pt idx="1064">
                  <c:v>7.8483000000000001</c:v>
                </c:pt>
                <c:pt idx="1065">
                  <c:v>7.8502999999999998</c:v>
                </c:pt>
                <c:pt idx="1066">
                  <c:v>7.8493000000000004</c:v>
                </c:pt>
                <c:pt idx="1067">
                  <c:v>7.8475000000000001</c:v>
                </c:pt>
                <c:pt idx="1068">
                  <c:v>7.8445</c:v>
                </c:pt>
                <c:pt idx="1069">
                  <c:v>7.8525</c:v>
                </c:pt>
                <c:pt idx="1070">
                  <c:v>7.8441000000000001</c:v>
                </c:pt>
                <c:pt idx="1071">
                  <c:v>7.8460000000000001</c:v>
                </c:pt>
                <c:pt idx="1072">
                  <c:v>7.8407</c:v>
                </c:pt>
                <c:pt idx="1073">
                  <c:v>7.8376000000000001</c:v>
                </c:pt>
                <c:pt idx="1074">
                  <c:v>7.8445</c:v>
                </c:pt>
                <c:pt idx="1075">
                  <c:v>7.8403999999999998</c:v>
                </c:pt>
                <c:pt idx="1076">
                  <c:v>7.8456000000000001</c:v>
                </c:pt>
                <c:pt idx="1077">
                  <c:v>7.835</c:v>
                </c:pt>
                <c:pt idx="1078">
                  <c:v>7.835</c:v>
                </c:pt>
                <c:pt idx="1079">
                  <c:v>7.8254000000000001</c:v>
                </c:pt>
                <c:pt idx="1080">
                  <c:v>7.8303000000000003</c:v>
                </c:pt>
                <c:pt idx="1081">
                  <c:v>7.8250000000000002</c:v>
                </c:pt>
                <c:pt idx="1082">
                  <c:v>7.8324999999999996</c:v>
                </c:pt>
                <c:pt idx="1083">
                  <c:v>7.8375000000000004</c:v>
                </c:pt>
                <c:pt idx="1084">
                  <c:v>7.8404999999999996</c:v>
                </c:pt>
                <c:pt idx="1085">
                  <c:v>7.8455000000000004</c:v>
                </c:pt>
                <c:pt idx="1086">
                  <c:v>7.8507999999999996</c:v>
                </c:pt>
                <c:pt idx="1087">
                  <c:v>7.8448000000000002</c:v>
                </c:pt>
                <c:pt idx="1088">
                  <c:v>7.8428000000000004</c:v>
                </c:pt>
                <c:pt idx="1089">
                  <c:v>7.8428000000000004</c:v>
                </c:pt>
                <c:pt idx="1090">
                  <c:v>7.835</c:v>
                </c:pt>
                <c:pt idx="1091">
                  <c:v>7.835</c:v>
                </c:pt>
                <c:pt idx="1092">
                  <c:v>7.8425000000000002</c:v>
                </c:pt>
                <c:pt idx="1093">
                  <c:v>7.8375000000000004</c:v>
                </c:pt>
                <c:pt idx="1094">
                  <c:v>7.8358999999999996</c:v>
                </c:pt>
                <c:pt idx="1095">
                  <c:v>7.8475000000000001</c:v>
                </c:pt>
                <c:pt idx="1096">
                  <c:v>7.8487999999999998</c:v>
                </c:pt>
                <c:pt idx="1097">
                  <c:v>7.8475000000000001</c:v>
                </c:pt>
                <c:pt idx="1098">
                  <c:v>7.86</c:v>
                </c:pt>
                <c:pt idx="1099">
                  <c:v>7.8676000000000004</c:v>
                </c:pt>
                <c:pt idx="1100">
                  <c:v>7.8558000000000003</c:v>
                </c:pt>
                <c:pt idx="1101">
                  <c:v>7.8601999999999999</c:v>
                </c:pt>
                <c:pt idx="1102">
                  <c:v>7.8620000000000001</c:v>
                </c:pt>
                <c:pt idx="1103">
                  <c:v>7.8612000000000002</c:v>
                </c:pt>
                <c:pt idx="1104">
                  <c:v>7.8662000000000001</c:v>
                </c:pt>
                <c:pt idx="1105">
                  <c:v>7.8585000000000003</c:v>
                </c:pt>
                <c:pt idx="1106">
                  <c:v>7.8586999999999998</c:v>
                </c:pt>
                <c:pt idx="1107">
                  <c:v>7.86</c:v>
                </c:pt>
                <c:pt idx="1108">
                  <c:v>7.8550000000000004</c:v>
                </c:pt>
                <c:pt idx="1109">
                  <c:v>7.85</c:v>
                </c:pt>
                <c:pt idx="1110">
                  <c:v>7.8529</c:v>
                </c:pt>
                <c:pt idx="1111">
                  <c:v>7.8545999999999996</c:v>
                </c:pt>
                <c:pt idx="1112">
                  <c:v>7.8639999999999999</c:v>
                </c:pt>
                <c:pt idx="1113">
                  <c:v>7.8728999999999996</c:v>
                </c:pt>
                <c:pt idx="1114">
                  <c:v>7.87</c:v>
                </c:pt>
                <c:pt idx="1115">
                  <c:v>7.8720999999999997</c:v>
                </c:pt>
                <c:pt idx="1116">
                  <c:v>7.88</c:v>
                </c:pt>
                <c:pt idx="1117">
                  <c:v>7.8788</c:v>
                </c:pt>
                <c:pt idx="1118">
                  <c:v>7.891</c:v>
                </c:pt>
                <c:pt idx="1119">
                  <c:v>7.8933</c:v>
                </c:pt>
                <c:pt idx="1120">
                  <c:v>7.9002999999999997</c:v>
                </c:pt>
                <c:pt idx="1121">
                  <c:v>7.8975</c:v>
                </c:pt>
                <c:pt idx="1122">
                  <c:v>7.9</c:v>
                </c:pt>
                <c:pt idx="1123">
                  <c:v>7.915</c:v>
                </c:pt>
                <c:pt idx="1124">
                  <c:v>8.07</c:v>
                </c:pt>
                <c:pt idx="1125">
                  <c:v>8.08</c:v>
                </c:pt>
                <c:pt idx="1126">
                  <c:v>8.09</c:v>
                </c:pt>
                <c:pt idx="1127">
                  <c:v>8.1</c:v>
                </c:pt>
                <c:pt idx="1128">
                  <c:v>8.1029999999999998</c:v>
                </c:pt>
                <c:pt idx="1129">
                  <c:v>8.1004000000000005</c:v>
                </c:pt>
                <c:pt idx="1130">
                  <c:v>8.1</c:v>
                </c:pt>
                <c:pt idx="1131">
                  <c:v>8.1080000000000005</c:v>
                </c:pt>
                <c:pt idx="1132">
                  <c:v>8.1079000000000008</c:v>
                </c:pt>
                <c:pt idx="1133">
                  <c:v>8.1082999999999998</c:v>
                </c:pt>
                <c:pt idx="1134">
                  <c:v>8.1067999999999998</c:v>
                </c:pt>
                <c:pt idx="1135">
                  <c:v>8.1074999999999999</c:v>
                </c:pt>
                <c:pt idx="1136">
                  <c:v>8.1024999999999991</c:v>
                </c:pt>
                <c:pt idx="1137">
                  <c:v>8.11</c:v>
                </c:pt>
                <c:pt idx="1138">
                  <c:v>8.1050000000000004</c:v>
                </c:pt>
                <c:pt idx="1139">
                  <c:v>8.1050000000000004</c:v>
                </c:pt>
                <c:pt idx="1140">
                  <c:v>8.1067</c:v>
                </c:pt>
                <c:pt idx="1141">
                  <c:v>8.11</c:v>
                </c:pt>
                <c:pt idx="1142">
                  <c:v>8.11</c:v>
                </c:pt>
                <c:pt idx="1143">
                  <c:v>8.1050000000000004</c:v>
                </c:pt>
                <c:pt idx="1144">
                  <c:v>8.1100999999999992</c:v>
                </c:pt>
                <c:pt idx="1145">
                  <c:v>8.1067999999999998</c:v>
                </c:pt>
                <c:pt idx="1146">
                  <c:v>8.1024999999999991</c:v>
                </c:pt>
                <c:pt idx="1147">
                  <c:v>8.0805000000000007</c:v>
                </c:pt>
                <c:pt idx="1148">
                  <c:v>8.0950000000000006</c:v>
                </c:pt>
                <c:pt idx="1149">
                  <c:v>8.1</c:v>
                </c:pt>
                <c:pt idx="1150">
                  <c:v>8.1050000000000004</c:v>
                </c:pt>
                <c:pt idx="1151">
                  <c:v>8.1</c:v>
                </c:pt>
                <c:pt idx="1152">
                  <c:v>8.1</c:v>
                </c:pt>
                <c:pt idx="1153">
                  <c:v>8.11</c:v>
                </c:pt>
                <c:pt idx="1154">
                  <c:v>8.1050000000000004</c:v>
                </c:pt>
                <c:pt idx="1155">
                  <c:v>8.1074999999999999</c:v>
                </c:pt>
                <c:pt idx="1156">
                  <c:v>8.1074999999999999</c:v>
                </c:pt>
                <c:pt idx="1157">
                  <c:v>8.1001999999999992</c:v>
                </c:pt>
                <c:pt idx="1158">
                  <c:v>8.1041000000000007</c:v>
                </c:pt>
                <c:pt idx="1159">
                  <c:v>8.1035000000000004</c:v>
                </c:pt>
                <c:pt idx="1160">
                  <c:v>8.1050000000000004</c:v>
                </c:pt>
                <c:pt idx="1161">
                  <c:v>8.1</c:v>
                </c:pt>
                <c:pt idx="1162">
                  <c:v>8.1050000000000004</c:v>
                </c:pt>
                <c:pt idx="1163">
                  <c:v>8.11</c:v>
                </c:pt>
                <c:pt idx="1164">
                  <c:v>8.11</c:v>
                </c:pt>
                <c:pt idx="1165">
                  <c:v>8.1064000000000007</c:v>
                </c:pt>
                <c:pt idx="1166">
                  <c:v>8.1074999999999999</c:v>
                </c:pt>
                <c:pt idx="1167">
                  <c:v>8.11</c:v>
                </c:pt>
                <c:pt idx="1168">
                  <c:v>8.1064000000000007</c:v>
                </c:pt>
                <c:pt idx="1169">
                  <c:v>8.1120000000000001</c:v>
                </c:pt>
                <c:pt idx="1170">
                  <c:v>8.11</c:v>
                </c:pt>
                <c:pt idx="1171">
                  <c:v>8.1043000000000003</c:v>
                </c:pt>
                <c:pt idx="1172">
                  <c:v>8.11</c:v>
                </c:pt>
                <c:pt idx="1173">
                  <c:v>8.1037999999999997</c:v>
                </c:pt>
                <c:pt idx="1174">
                  <c:v>8.1085999999999991</c:v>
                </c:pt>
                <c:pt idx="1175">
                  <c:v>8.1018000000000008</c:v>
                </c:pt>
                <c:pt idx="1176">
                  <c:v>8.0988000000000007</c:v>
                </c:pt>
                <c:pt idx="1177">
                  <c:v>8.1074999999999999</c:v>
                </c:pt>
                <c:pt idx="1178">
                  <c:v>8.1039999999999992</c:v>
                </c:pt>
                <c:pt idx="1179">
                  <c:v>8.1014999999999997</c:v>
                </c:pt>
                <c:pt idx="1180">
                  <c:v>8.1149000000000004</c:v>
                </c:pt>
                <c:pt idx="1181">
                  <c:v>8.1150000000000002</c:v>
                </c:pt>
                <c:pt idx="1182">
                  <c:v>8.1109000000000009</c:v>
                </c:pt>
                <c:pt idx="1183">
                  <c:v>8.1195000000000004</c:v>
                </c:pt>
                <c:pt idx="1184">
                  <c:v>8.1199999999999992</c:v>
                </c:pt>
                <c:pt idx="1185">
                  <c:v>8.1165000000000003</c:v>
                </c:pt>
                <c:pt idx="1186">
                  <c:v>8.1199999999999992</c:v>
                </c:pt>
                <c:pt idx="1187">
                  <c:v>8.1225000000000005</c:v>
                </c:pt>
                <c:pt idx="1188">
                  <c:v>8.1227</c:v>
                </c:pt>
                <c:pt idx="1189">
                  <c:v>8.1199999999999992</c:v>
                </c:pt>
                <c:pt idx="1190">
                  <c:v>8.1199999999999992</c:v>
                </c:pt>
                <c:pt idx="1191">
                  <c:v>8.1199999999999992</c:v>
                </c:pt>
                <c:pt idx="1192">
                  <c:v>8.1225000000000005</c:v>
                </c:pt>
                <c:pt idx="1193">
                  <c:v>8.1150000000000002</c:v>
                </c:pt>
                <c:pt idx="1194">
                  <c:v>8.1199999999999992</c:v>
                </c:pt>
                <c:pt idx="1195">
                  <c:v>8.1150000000000002</c:v>
                </c:pt>
                <c:pt idx="1196">
                  <c:v>8.11</c:v>
                </c:pt>
                <c:pt idx="1197">
                  <c:v>8.1150000000000002</c:v>
                </c:pt>
                <c:pt idx="1198">
                  <c:v>8.1125000000000007</c:v>
                </c:pt>
                <c:pt idx="1199">
                  <c:v>8.1125000000000007</c:v>
                </c:pt>
                <c:pt idx="1200">
                  <c:v>8.1120000000000001</c:v>
                </c:pt>
                <c:pt idx="1201">
                  <c:v>8.1121999999999996</c:v>
                </c:pt>
                <c:pt idx="1202">
                  <c:v>8.1195000000000004</c:v>
                </c:pt>
                <c:pt idx="1203">
                  <c:v>8.1153999999999993</c:v>
                </c:pt>
                <c:pt idx="1204">
                  <c:v>8.1134000000000004</c:v>
                </c:pt>
                <c:pt idx="1205">
                  <c:v>8.1199999999999992</c:v>
                </c:pt>
                <c:pt idx="1206">
                  <c:v>8.1150000000000002</c:v>
                </c:pt>
                <c:pt idx="1207">
                  <c:v>8.1150000000000002</c:v>
                </c:pt>
                <c:pt idx="1208">
                  <c:v>8.1150000000000002</c:v>
                </c:pt>
                <c:pt idx="1209">
                  <c:v>8.1105999999999998</c:v>
                </c:pt>
                <c:pt idx="1210">
                  <c:v>8.1085999999999991</c:v>
                </c:pt>
                <c:pt idx="1211">
                  <c:v>8.1150000000000002</c:v>
                </c:pt>
                <c:pt idx="1212">
                  <c:v>8.1125000000000007</c:v>
                </c:pt>
                <c:pt idx="1213">
                  <c:v>8.1274999999999995</c:v>
                </c:pt>
                <c:pt idx="1214">
                  <c:v>8.1214999999999993</c:v>
                </c:pt>
                <c:pt idx="1215">
                  <c:v>8.14</c:v>
                </c:pt>
                <c:pt idx="1216">
                  <c:v>8.1539000000000001</c:v>
                </c:pt>
                <c:pt idx="1217">
                  <c:v>8.1675000000000004</c:v>
                </c:pt>
                <c:pt idx="1218">
                  <c:v>8.1723999999999997</c:v>
                </c:pt>
                <c:pt idx="1219">
                  <c:v>8.1651000000000007</c:v>
                </c:pt>
                <c:pt idx="1220">
                  <c:v>8.1649999999999991</c:v>
                </c:pt>
                <c:pt idx="1221">
                  <c:v>8.1750000000000007</c:v>
                </c:pt>
                <c:pt idx="1222">
                  <c:v>8.1824999999999992</c:v>
                </c:pt>
                <c:pt idx="1223">
                  <c:v>8.1887000000000008</c:v>
                </c:pt>
                <c:pt idx="1224">
                  <c:v>8.19</c:v>
                </c:pt>
                <c:pt idx="1225">
                  <c:v>8.1877999999999993</c:v>
                </c:pt>
                <c:pt idx="1226">
                  <c:v>8.1922999999999995</c:v>
                </c:pt>
                <c:pt idx="1227">
                  <c:v>8.2050000000000001</c:v>
                </c:pt>
                <c:pt idx="1228">
                  <c:v>8.3177000000000003</c:v>
                </c:pt>
                <c:pt idx="1229">
                  <c:v>8.3165999999999993</c:v>
                </c:pt>
                <c:pt idx="1230">
                  <c:v>8.3107000000000006</c:v>
                </c:pt>
                <c:pt idx="1231">
                  <c:v>8.3157999999999994</c:v>
                </c:pt>
                <c:pt idx="1232">
                  <c:v>8.32</c:v>
                </c:pt>
                <c:pt idx="1233">
                  <c:v>8.32</c:v>
                </c:pt>
                <c:pt idx="1234">
                  <c:v>8.3350000000000009</c:v>
                </c:pt>
                <c:pt idx="1235">
                  <c:v>8.3450000000000006</c:v>
                </c:pt>
                <c:pt idx="1236">
                  <c:v>8.3362999999999996</c:v>
                </c:pt>
                <c:pt idx="1237">
                  <c:v>8.3328000000000007</c:v>
                </c:pt>
                <c:pt idx="1238">
                  <c:v>8.33</c:v>
                </c:pt>
                <c:pt idx="1239">
                  <c:v>8.3437999999999999</c:v>
                </c:pt>
                <c:pt idx="1240">
                  <c:v>8.34</c:v>
                </c:pt>
                <c:pt idx="1241">
                  <c:v>8.3350000000000009</c:v>
                </c:pt>
                <c:pt idx="1242">
                  <c:v>8.3472000000000008</c:v>
                </c:pt>
                <c:pt idx="1243">
                  <c:v>8.3411000000000008</c:v>
                </c:pt>
                <c:pt idx="1244">
                  <c:v>8.3550000000000004</c:v>
                </c:pt>
                <c:pt idx="1245">
                  <c:v>8.35</c:v>
                </c:pt>
                <c:pt idx="1246">
                  <c:v>8.35</c:v>
                </c:pt>
                <c:pt idx="1247">
                  <c:v>8.3524999999999991</c:v>
                </c:pt>
                <c:pt idx="1248">
                  <c:v>8.3650000000000002</c:v>
                </c:pt>
                <c:pt idx="1249">
                  <c:v>8.3699999999999992</c:v>
                </c:pt>
                <c:pt idx="1250">
                  <c:v>8.3836999999999993</c:v>
                </c:pt>
                <c:pt idx="1251">
                  <c:v>8.5574999999999992</c:v>
                </c:pt>
                <c:pt idx="1252">
                  <c:v>8.5824999999999996</c:v>
                </c:pt>
                <c:pt idx="1253">
                  <c:v>8.5749999999999993</c:v>
                </c:pt>
                <c:pt idx="1254">
                  <c:v>8.5891999999999999</c:v>
                </c:pt>
                <c:pt idx="1255">
                  <c:v>8.5955999999999992</c:v>
                </c:pt>
                <c:pt idx="1256">
                  <c:v>8.5897000000000006</c:v>
                </c:pt>
                <c:pt idx="1257">
                  <c:v>8.5988000000000007</c:v>
                </c:pt>
                <c:pt idx="1258">
                  <c:v>8.5937999999999999</c:v>
                </c:pt>
                <c:pt idx="1259">
                  <c:v>8.59</c:v>
                </c:pt>
                <c:pt idx="1260">
                  <c:v>8.5875000000000004</c:v>
                </c:pt>
                <c:pt idx="1261">
                  <c:v>8.5855999999999995</c:v>
                </c:pt>
                <c:pt idx="1262">
                  <c:v>8.5850000000000009</c:v>
                </c:pt>
                <c:pt idx="1263">
                  <c:v>8.5840999999999994</c:v>
                </c:pt>
                <c:pt idx="1264">
                  <c:v>8.5950000000000006</c:v>
                </c:pt>
                <c:pt idx="1265">
                  <c:v>8.5950000000000006</c:v>
                </c:pt>
                <c:pt idx="1266">
                  <c:v>8.5950000000000006</c:v>
                </c:pt>
                <c:pt idx="1267">
                  <c:v>8.5924999999999994</c:v>
                </c:pt>
                <c:pt idx="1268">
                  <c:v>8.5831</c:v>
                </c:pt>
                <c:pt idx="1269">
                  <c:v>8.5924999999999994</c:v>
                </c:pt>
                <c:pt idx="1270">
                  <c:v>8.6</c:v>
                </c:pt>
                <c:pt idx="1271">
                  <c:v>8.5950000000000006</c:v>
                </c:pt>
                <c:pt idx="1272">
                  <c:v>8.5996000000000006</c:v>
                </c:pt>
                <c:pt idx="1273">
                  <c:v>8.5962999999999994</c:v>
                </c:pt>
                <c:pt idx="1274">
                  <c:v>8.5950000000000006</c:v>
                </c:pt>
                <c:pt idx="1275">
                  <c:v>8.5944000000000003</c:v>
                </c:pt>
                <c:pt idx="1276">
                  <c:v>8.59</c:v>
                </c:pt>
                <c:pt idx="1277">
                  <c:v>8.5917999999999992</c:v>
                </c:pt>
                <c:pt idx="1278">
                  <c:v>8.5950000000000006</c:v>
                </c:pt>
                <c:pt idx="1279">
                  <c:v>8.5875000000000004</c:v>
                </c:pt>
                <c:pt idx="1280">
                  <c:v>8.5860000000000003</c:v>
                </c:pt>
                <c:pt idx="1281">
                  <c:v>8.5850000000000009</c:v>
                </c:pt>
                <c:pt idx="1282">
                  <c:v>8.5850000000000009</c:v>
                </c:pt>
                <c:pt idx="1283">
                  <c:v>8.5790000000000006</c:v>
                </c:pt>
                <c:pt idx="1284">
                  <c:v>8.5734999999999992</c:v>
                </c:pt>
                <c:pt idx="1285">
                  <c:v>8.5685000000000002</c:v>
                </c:pt>
                <c:pt idx="1286">
                  <c:v>8.5609999999999999</c:v>
                </c:pt>
                <c:pt idx="1287">
                  <c:v>8.5574999999999992</c:v>
                </c:pt>
                <c:pt idx="1288">
                  <c:v>8.56</c:v>
                </c:pt>
                <c:pt idx="1289">
                  <c:v>8.5641999999999996</c:v>
                </c:pt>
                <c:pt idx="1290">
                  <c:v>8.5474999999999994</c:v>
                </c:pt>
                <c:pt idx="1291">
                  <c:v>8.5350000000000001</c:v>
                </c:pt>
                <c:pt idx="1292">
                  <c:v>8.5398999999999994</c:v>
                </c:pt>
                <c:pt idx="1293">
                  <c:v>8.5350000000000001</c:v>
                </c:pt>
                <c:pt idx="1294">
                  <c:v>8.5408000000000008</c:v>
                </c:pt>
                <c:pt idx="1295">
                  <c:v>8.5353999999999992</c:v>
                </c:pt>
                <c:pt idx="1296">
                  <c:v>8.5365000000000002</c:v>
                </c:pt>
                <c:pt idx="1297">
                  <c:v>8.5350000000000001</c:v>
                </c:pt>
                <c:pt idx="1298">
                  <c:v>8.5338999999999992</c:v>
                </c:pt>
                <c:pt idx="1299">
                  <c:v>8.5325000000000006</c:v>
                </c:pt>
                <c:pt idx="1300">
                  <c:v>8.52</c:v>
                </c:pt>
                <c:pt idx="1301">
                  <c:v>8.5265000000000004</c:v>
                </c:pt>
                <c:pt idx="1302">
                  <c:v>8.5259999999999998</c:v>
                </c:pt>
                <c:pt idx="1303">
                  <c:v>8.5259999999999998</c:v>
                </c:pt>
                <c:pt idx="1304">
                  <c:v>8.52</c:v>
                </c:pt>
                <c:pt idx="1305">
                  <c:v>8.5124999999999993</c:v>
                </c:pt>
                <c:pt idx="1306">
                  <c:v>8.5151000000000003</c:v>
                </c:pt>
                <c:pt idx="1307">
                  <c:v>8.5155999999999992</c:v>
                </c:pt>
                <c:pt idx="1308">
                  <c:v>8.5150000000000006</c:v>
                </c:pt>
                <c:pt idx="1309">
                  <c:v>8.5137</c:v>
                </c:pt>
                <c:pt idx="1310">
                  <c:v>8.5175000000000001</c:v>
                </c:pt>
                <c:pt idx="1311">
                  <c:v>8.5112000000000005</c:v>
                </c:pt>
                <c:pt idx="1312">
                  <c:v>8.5124999999999993</c:v>
                </c:pt>
                <c:pt idx="1313">
                  <c:v>8.5137999999999998</c:v>
                </c:pt>
                <c:pt idx="1314">
                  <c:v>8.5137</c:v>
                </c:pt>
                <c:pt idx="1315">
                  <c:v>8.51</c:v>
                </c:pt>
                <c:pt idx="1316">
                  <c:v>8.5099</c:v>
                </c:pt>
                <c:pt idx="1317">
                  <c:v>8.5150000000000006</c:v>
                </c:pt>
                <c:pt idx="1318">
                  <c:v>8.51</c:v>
                </c:pt>
                <c:pt idx="1319">
                  <c:v>8.4962</c:v>
                </c:pt>
                <c:pt idx="1320">
                  <c:v>8.5</c:v>
                </c:pt>
                <c:pt idx="1321">
                  <c:v>8.5</c:v>
                </c:pt>
                <c:pt idx="1322">
                  <c:v>8.4909999999999997</c:v>
                </c:pt>
                <c:pt idx="1323">
                  <c:v>8.4975000000000005</c:v>
                </c:pt>
                <c:pt idx="1324">
                  <c:v>8.4924999999999997</c:v>
                </c:pt>
                <c:pt idx="1325">
                  <c:v>8.4924999999999997</c:v>
                </c:pt>
                <c:pt idx="1326">
                  <c:v>8.4924999999999997</c:v>
                </c:pt>
                <c:pt idx="1327">
                  <c:v>8.4924999999999997</c:v>
                </c:pt>
                <c:pt idx="1328">
                  <c:v>8.4949999999999992</c:v>
                </c:pt>
                <c:pt idx="1329">
                  <c:v>8.4924999999999997</c:v>
                </c:pt>
                <c:pt idx="1330">
                  <c:v>8.4969999999999999</c:v>
                </c:pt>
                <c:pt idx="1331">
                  <c:v>8.4949999999999992</c:v>
                </c:pt>
                <c:pt idx="1332">
                  <c:v>8.4975000000000005</c:v>
                </c:pt>
                <c:pt idx="1333">
                  <c:v>8.5</c:v>
                </c:pt>
                <c:pt idx="1334">
                  <c:v>8.5021000000000004</c:v>
                </c:pt>
                <c:pt idx="1335">
                  <c:v>8.5043000000000006</c:v>
                </c:pt>
                <c:pt idx="1336">
                  <c:v>8.5</c:v>
                </c:pt>
                <c:pt idx="1337">
                  <c:v>8.5</c:v>
                </c:pt>
                <c:pt idx="1338">
                  <c:v>8.5054999999999996</c:v>
                </c:pt>
                <c:pt idx="1339">
                  <c:v>8.5124999999999993</c:v>
                </c:pt>
                <c:pt idx="1340">
                  <c:v>8.5075000000000003</c:v>
                </c:pt>
                <c:pt idx="1341">
                  <c:v>8.5086999999999993</c:v>
                </c:pt>
                <c:pt idx="1342">
                  <c:v>8.5109999999999992</c:v>
                </c:pt>
                <c:pt idx="1343">
                  <c:v>8.5043000000000006</c:v>
                </c:pt>
                <c:pt idx="1344">
                  <c:v>8.5061999999999998</c:v>
                </c:pt>
                <c:pt idx="1345">
                  <c:v>8.5061</c:v>
                </c:pt>
                <c:pt idx="1346">
                  <c:v>8.5075000000000003</c:v>
                </c:pt>
                <c:pt idx="1347">
                  <c:v>8.5075000000000003</c:v>
                </c:pt>
                <c:pt idx="1348">
                  <c:v>8.5050000000000008</c:v>
                </c:pt>
                <c:pt idx="1349">
                  <c:v>8.5039999999999996</c:v>
                </c:pt>
                <c:pt idx="1350">
                  <c:v>8.5075000000000003</c:v>
                </c:pt>
                <c:pt idx="1351">
                  <c:v>8.5066000000000006</c:v>
                </c:pt>
                <c:pt idx="1352">
                  <c:v>8.5037000000000003</c:v>
                </c:pt>
                <c:pt idx="1353">
                  <c:v>8.5035000000000007</c:v>
                </c:pt>
                <c:pt idx="1354">
                  <c:v>8.5075000000000003</c:v>
                </c:pt>
                <c:pt idx="1355">
                  <c:v>8.5075000000000003</c:v>
                </c:pt>
                <c:pt idx="1356">
                  <c:v>8.5075000000000003</c:v>
                </c:pt>
                <c:pt idx="1357">
                  <c:v>8.5070999999999994</c:v>
                </c:pt>
                <c:pt idx="1358">
                  <c:v>8.5075000000000003</c:v>
                </c:pt>
                <c:pt idx="1359">
                  <c:v>8.5077999999999996</c:v>
                </c:pt>
                <c:pt idx="1360">
                  <c:v>8.5114000000000001</c:v>
                </c:pt>
                <c:pt idx="1361">
                  <c:v>8.5269999999999992</c:v>
                </c:pt>
                <c:pt idx="1362">
                  <c:v>8.5143000000000004</c:v>
                </c:pt>
                <c:pt idx="1363">
                  <c:v>8.5138999999999996</c:v>
                </c:pt>
                <c:pt idx="1364">
                  <c:v>8.5107999999999997</c:v>
                </c:pt>
                <c:pt idx="1365">
                  <c:v>8.51</c:v>
                </c:pt>
                <c:pt idx="1366">
                  <c:v>8.5124999999999993</c:v>
                </c:pt>
                <c:pt idx="1367">
                  <c:v>8.5115999999999996</c:v>
                </c:pt>
                <c:pt idx="1368">
                  <c:v>8.5105000000000004</c:v>
                </c:pt>
                <c:pt idx="1369">
                  <c:v>8.5105000000000004</c:v>
                </c:pt>
                <c:pt idx="1370">
                  <c:v>8.5098000000000003</c:v>
                </c:pt>
                <c:pt idx="1371">
                  <c:v>8.5088000000000008</c:v>
                </c:pt>
                <c:pt idx="1372">
                  <c:v>8.5050000000000008</c:v>
                </c:pt>
                <c:pt idx="1373">
                  <c:v>8.5043000000000006</c:v>
                </c:pt>
                <c:pt idx="1374">
                  <c:v>8.5038999999999998</c:v>
                </c:pt>
                <c:pt idx="1375">
                  <c:v>8.4992999999999999</c:v>
                </c:pt>
                <c:pt idx="1376">
                  <c:v>8.4951000000000008</c:v>
                </c:pt>
                <c:pt idx="1377">
                  <c:v>8.4949999999999992</c:v>
                </c:pt>
                <c:pt idx="1378">
                  <c:v>8.4879999999999995</c:v>
                </c:pt>
                <c:pt idx="1379">
                  <c:v>8.4886999999999997</c:v>
                </c:pt>
                <c:pt idx="1380">
                  <c:v>8.4849999999999994</c:v>
                </c:pt>
                <c:pt idx="1381">
                  <c:v>8.4749999999999996</c:v>
                </c:pt>
                <c:pt idx="1382">
                  <c:v>8.4700000000000006</c:v>
                </c:pt>
                <c:pt idx="1383">
                  <c:v>8.4748999999999999</c:v>
                </c:pt>
                <c:pt idx="1384">
                  <c:v>8.4749999999999996</c:v>
                </c:pt>
                <c:pt idx="1385">
                  <c:v>8.4786999999999999</c:v>
                </c:pt>
                <c:pt idx="1386">
                  <c:v>8.4763000000000002</c:v>
                </c:pt>
                <c:pt idx="1387">
                  <c:v>8.48</c:v>
                </c:pt>
                <c:pt idx="1388">
                  <c:v>8.4725000000000001</c:v>
                </c:pt>
                <c:pt idx="1389">
                  <c:v>8.4749999999999996</c:v>
                </c:pt>
                <c:pt idx="1390">
                  <c:v>8.4725000000000001</c:v>
                </c:pt>
                <c:pt idx="1391">
                  <c:v>8.4725000000000001</c:v>
                </c:pt>
                <c:pt idx="1392">
                  <c:v>8.4749999999999996</c:v>
                </c:pt>
                <c:pt idx="1393">
                  <c:v>8.4749999999999996</c:v>
                </c:pt>
                <c:pt idx="1394">
                  <c:v>8.4774999999999991</c:v>
                </c:pt>
                <c:pt idx="1395">
                  <c:v>8.4774999999999991</c:v>
                </c:pt>
                <c:pt idx="1396">
                  <c:v>8.4749999999999996</c:v>
                </c:pt>
                <c:pt idx="1397">
                  <c:v>8.4774999999999991</c:v>
                </c:pt>
                <c:pt idx="1398">
                  <c:v>8.4740000000000002</c:v>
                </c:pt>
                <c:pt idx="1399">
                  <c:v>8.4700000000000006</c:v>
                </c:pt>
                <c:pt idx="1400">
                  <c:v>8.4674999999999994</c:v>
                </c:pt>
                <c:pt idx="1401">
                  <c:v>8.4649999999999999</c:v>
                </c:pt>
                <c:pt idx="1402">
                  <c:v>8.4588999999999999</c:v>
                </c:pt>
                <c:pt idx="1403">
                  <c:v>8.4574999999999996</c:v>
                </c:pt>
                <c:pt idx="1404">
                  <c:v>8.4565000000000001</c:v>
                </c:pt>
                <c:pt idx="1405">
                  <c:v>8.4574999999999996</c:v>
                </c:pt>
                <c:pt idx="1406">
                  <c:v>8.4536999999999995</c:v>
                </c:pt>
                <c:pt idx="1407">
                  <c:v>8.4525000000000006</c:v>
                </c:pt>
                <c:pt idx="1408">
                  <c:v>8.4489999999999998</c:v>
                </c:pt>
                <c:pt idx="1409">
                  <c:v>8.4450000000000003</c:v>
                </c:pt>
                <c:pt idx="1410">
                  <c:v>8.4405000000000001</c:v>
                </c:pt>
                <c:pt idx="1411">
                  <c:v>8.4354999999999993</c:v>
                </c:pt>
                <c:pt idx="1412">
                  <c:v>8.4324999999999992</c:v>
                </c:pt>
                <c:pt idx="1413">
                  <c:v>8.4261999999999997</c:v>
                </c:pt>
                <c:pt idx="1414">
                  <c:v>8.2799999999999994</c:v>
                </c:pt>
                <c:pt idx="1415">
                  <c:v>8.2850000000000001</c:v>
                </c:pt>
                <c:pt idx="1416">
                  <c:v>8.2825000000000006</c:v>
                </c:pt>
                <c:pt idx="1417">
                  <c:v>8.282</c:v>
                </c:pt>
                <c:pt idx="1418">
                  <c:v>8.2784999999999993</c:v>
                </c:pt>
                <c:pt idx="1419">
                  <c:v>8.2774999999999999</c:v>
                </c:pt>
                <c:pt idx="1420">
                  <c:v>8.2750000000000004</c:v>
                </c:pt>
                <c:pt idx="1421">
                  <c:v>8.2750000000000004</c:v>
                </c:pt>
                <c:pt idx="1422">
                  <c:v>8.2725000000000009</c:v>
                </c:pt>
                <c:pt idx="1423">
                  <c:v>8.2624999999999993</c:v>
                </c:pt>
                <c:pt idx="1424">
                  <c:v>8.26</c:v>
                </c:pt>
                <c:pt idx="1425">
                  <c:v>8.2524999999999995</c:v>
                </c:pt>
                <c:pt idx="1426">
                  <c:v>8.24</c:v>
                </c:pt>
                <c:pt idx="1427">
                  <c:v>8.2349999999999994</c:v>
                </c:pt>
                <c:pt idx="1428">
                  <c:v>8.2230000000000008</c:v>
                </c:pt>
                <c:pt idx="1429">
                  <c:v>8.2225000000000001</c:v>
                </c:pt>
                <c:pt idx="1430">
                  <c:v>8.2225000000000001</c:v>
                </c:pt>
                <c:pt idx="1431">
                  <c:v>8.2174999999999994</c:v>
                </c:pt>
                <c:pt idx="1432">
                  <c:v>8.2100000000000009</c:v>
                </c:pt>
                <c:pt idx="1433">
                  <c:v>8.2070000000000007</c:v>
                </c:pt>
                <c:pt idx="1434">
                  <c:v>8.1999999999999993</c:v>
                </c:pt>
                <c:pt idx="1435">
                  <c:v>8.1984999999999992</c:v>
                </c:pt>
                <c:pt idx="1436">
                  <c:v>8.1950000000000003</c:v>
                </c:pt>
                <c:pt idx="1437">
                  <c:v>8.19</c:v>
                </c:pt>
                <c:pt idx="1438">
                  <c:v>8.1850000000000005</c:v>
                </c:pt>
                <c:pt idx="1439">
                  <c:v>8.1824999999999992</c:v>
                </c:pt>
                <c:pt idx="1440">
                  <c:v>8.1675000000000004</c:v>
                </c:pt>
                <c:pt idx="1441">
                  <c:v>8.1624999999999996</c:v>
                </c:pt>
                <c:pt idx="1442">
                  <c:v>8.1311999999999998</c:v>
                </c:pt>
                <c:pt idx="1443">
                  <c:v>8.0399999999999991</c:v>
                </c:pt>
                <c:pt idx="1444">
                  <c:v>8.0274999999999999</c:v>
                </c:pt>
                <c:pt idx="1445">
                  <c:v>8.0150000000000006</c:v>
                </c:pt>
                <c:pt idx="1446">
                  <c:v>8.0150000000000006</c:v>
                </c:pt>
                <c:pt idx="1447">
                  <c:v>8.0075000000000003</c:v>
                </c:pt>
                <c:pt idx="1448">
                  <c:v>8.0050000000000008</c:v>
                </c:pt>
                <c:pt idx="1449">
                  <c:v>8.0024999999999995</c:v>
                </c:pt>
                <c:pt idx="1450">
                  <c:v>8.0012000000000008</c:v>
                </c:pt>
                <c:pt idx="1451">
                  <c:v>8.0050000000000008</c:v>
                </c:pt>
                <c:pt idx="1452">
                  <c:v>8.0050000000000008</c:v>
                </c:pt>
                <c:pt idx="1453">
                  <c:v>8.0024999999999995</c:v>
                </c:pt>
                <c:pt idx="1454">
                  <c:v>7.9987000000000004</c:v>
                </c:pt>
                <c:pt idx="1455">
                  <c:v>7.9974999999999996</c:v>
                </c:pt>
                <c:pt idx="1456">
                  <c:v>7.9974999999999996</c:v>
                </c:pt>
                <c:pt idx="1457">
                  <c:v>7.9950000000000001</c:v>
                </c:pt>
                <c:pt idx="1458">
                  <c:v>7.9962</c:v>
                </c:pt>
                <c:pt idx="1459">
                  <c:v>7.9931000000000001</c:v>
                </c:pt>
                <c:pt idx="1460">
                  <c:v>7.9974999999999996</c:v>
                </c:pt>
                <c:pt idx="1461">
                  <c:v>7.9935</c:v>
                </c:pt>
                <c:pt idx="1462">
                  <c:v>7.9915000000000003</c:v>
                </c:pt>
                <c:pt idx="1463">
                  <c:v>7.9856999999999996</c:v>
                </c:pt>
                <c:pt idx="1464">
                  <c:v>7.9850000000000003</c:v>
                </c:pt>
                <c:pt idx="1465">
                  <c:v>7.98</c:v>
                </c:pt>
                <c:pt idx="1466">
                  <c:v>7.9705000000000004</c:v>
                </c:pt>
                <c:pt idx="1467">
                  <c:v>7.9625000000000004</c:v>
                </c:pt>
                <c:pt idx="1468">
                  <c:v>7.96</c:v>
                </c:pt>
                <c:pt idx="1469">
                  <c:v>7.9550000000000001</c:v>
                </c:pt>
                <c:pt idx="1470">
                  <c:v>7.9524999999999997</c:v>
                </c:pt>
                <c:pt idx="1471">
                  <c:v>7.9470000000000001</c:v>
                </c:pt>
                <c:pt idx="1472">
                  <c:v>7.9450000000000003</c:v>
                </c:pt>
                <c:pt idx="1473">
                  <c:v>7.9450000000000003</c:v>
                </c:pt>
                <c:pt idx="1474">
                  <c:v>7.9412000000000003</c:v>
                </c:pt>
                <c:pt idx="1475">
                  <c:v>7.9325000000000001</c:v>
                </c:pt>
                <c:pt idx="1476">
                  <c:v>7.9211999999999998</c:v>
                </c:pt>
                <c:pt idx="1477">
                  <c:v>7.8913000000000002</c:v>
                </c:pt>
                <c:pt idx="1478">
                  <c:v>7.8025000000000002</c:v>
                </c:pt>
                <c:pt idx="1479">
                  <c:v>7.7949999999999999</c:v>
                </c:pt>
                <c:pt idx="1480">
                  <c:v>7.7925000000000004</c:v>
                </c:pt>
                <c:pt idx="1481">
                  <c:v>7.79</c:v>
                </c:pt>
                <c:pt idx="1482">
                  <c:v>7.7874999999999996</c:v>
                </c:pt>
                <c:pt idx="1483">
                  <c:v>7.7836999999999996</c:v>
                </c:pt>
                <c:pt idx="1484">
                  <c:v>7.7850000000000001</c:v>
                </c:pt>
                <c:pt idx="1485">
                  <c:v>7.7824999999999998</c:v>
                </c:pt>
                <c:pt idx="1486">
                  <c:v>7.7812000000000001</c:v>
                </c:pt>
                <c:pt idx="1487">
                  <c:v>7.7804000000000002</c:v>
                </c:pt>
                <c:pt idx="1488">
                  <c:v>7.7801999999999998</c:v>
                </c:pt>
                <c:pt idx="1489">
                  <c:v>7.7801</c:v>
                </c:pt>
                <c:pt idx="1490">
                  <c:v>7.7750000000000004</c:v>
                </c:pt>
                <c:pt idx="1491">
                  <c:v>7.7725</c:v>
                </c:pt>
                <c:pt idx="1492">
                  <c:v>7.7709999999999999</c:v>
                </c:pt>
                <c:pt idx="1493">
                  <c:v>7.7460000000000004</c:v>
                </c:pt>
                <c:pt idx="1494">
                  <c:v>7.75</c:v>
                </c:pt>
                <c:pt idx="1495">
                  <c:v>7.7424999999999997</c:v>
                </c:pt>
                <c:pt idx="1496">
                  <c:v>7.7412000000000001</c:v>
                </c:pt>
                <c:pt idx="1497">
                  <c:v>7.7401</c:v>
                </c:pt>
                <c:pt idx="1498">
                  <c:v>7.73</c:v>
                </c:pt>
                <c:pt idx="1499">
                  <c:v>7.72</c:v>
                </c:pt>
                <c:pt idx="1500">
                  <c:v>7.7095000000000002</c:v>
                </c:pt>
                <c:pt idx="1501">
                  <c:v>7.58</c:v>
                </c:pt>
                <c:pt idx="1502">
                  <c:v>7.5674999999999999</c:v>
                </c:pt>
                <c:pt idx="1503">
                  <c:v>7.5650000000000004</c:v>
                </c:pt>
                <c:pt idx="1504">
                  <c:v>7.5625</c:v>
                </c:pt>
                <c:pt idx="1505">
                  <c:v>7.5614999999999997</c:v>
                </c:pt>
                <c:pt idx="1506">
                  <c:v>7.5555000000000003</c:v>
                </c:pt>
                <c:pt idx="1507">
                  <c:v>7.5549999999999997</c:v>
                </c:pt>
                <c:pt idx="1508">
                  <c:v>7.5525000000000002</c:v>
                </c:pt>
                <c:pt idx="1509">
                  <c:v>7.5495000000000001</c:v>
                </c:pt>
                <c:pt idx="1510">
                  <c:v>7.5475000000000003</c:v>
                </c:pt>
                <c:pt idx="1511">
                  <c:v>7.5449999999999999</c:v>
                </c:pt>
                <c:pt idx="1512">
                  <c:v>7.5425000000000004</c:v>
                </c:pt>
                <c:pt idx="1513">
                  <c:v>7.5425000000000004</c:v>
                </c:pt>
                <c:pt idx="1514">
                  <c:v>7.5401999999999996</c:v>
                </c:pt>
                <c:pt idx="1515">
                  <c:v>7.5381</c:v>
                </c:pt>
                <c:pt idx="1516">
                  <c:v>7.5374999999999996</c:v>
                </c:pt>
                <c:pt idx="1517">
                  <c:v>7.53</c:v>
                </c:pt>
                <c:pt idx="1518">
                  <c:v>7.5250000000000004</c:v>
                </c:pt>
                <c:pt idx="1519">
                  <c:v>7.53</c:v>
                </c:pt>
                <c:pt idx="1520">
                  <c:v>7.5250000000000004</c:v>
                </c:pt>
                <c:pt idx="1521">
                  <c:v>7.5225</c:v>
                </c:pt>
                <c:pt idx="1522">
                  <c:v>7.5214999999999996</c:v>
                </c:pt>
                <c:pt idx="1523">
                  <c:v>7.5225</c:v>
                </c:pt>
                <c:pt idx="1524">
                  <c:v>7.5202</c:v>
                </c:pt>
                <c:pt idx="1525">
                  <c:v>7.51</c:v>
                </c:pt>
                <c:pt idx="1526">
                  <c:v>7.5065</c:v>
                </c:pt>
                <c:pt idx="1527">
                  <c:v>7.5025000000000004</c:v>
                </c:pt>
                <c:pt idx="1528">
                  <c:v>7.5002000000000004</c:v>
                </c:pt>
                <c:pt idx="1529">
                  <c:v>7.4950999999999999</c:v>
                </c:pt>
                <c:pt idx="1530">
                  <c:v>7.4936999999999996</c:v>
                </c:pt>
                <c:pt idx="1531">
                  <c:v>7.4924999999999997</c:v>
                </c:pt>
                <c:pt idx="1532">
                  <c:v>7.4915000000000003</c:v>
                </c:pt>
                <c:pt idx="1533">
                  <c:v>7.4892000000000003</c:v>
                </c:pt>
                <c:pt idx="1534">
                  <c:v>7.4874999999999998</c:v>
                </c:pt>
                <c:pt idx="1535">
                  <c:v>7.4836999999999998</c:v>
                </c:pt>
                <c:pt idx="1536">
                  <c:v>7.4812000000000003</c:v>
                </c:pt>
                <c:pt idx="1537">
                  <c:v>7.45</c:v>
                </c:pt>
                <c:pt idx="1538">
                  <c:v>7.33</c:v>
                </c:pt>
                <c:pt idx="1539">
                  <c:v>7.3150000000000004</c:v>
                </c:pt>
                <c:pt idx="1540">
                  <c:v>7.31</c:v>
                </c:pt>
                <c:pt idx="1541">
                  <c:v>7.3049999999999997</c:v>
                </c:pt>
                <c:pt idx="1542">
                  <c:v>7.3011999999999997</c:v>
                </c:pt>
                <c:pt idx="1543">
                  <c:v>7.3029999999999999</c:v>
                </c:pt>
                <c:pt idx="1544">
                  <c:v>7.3014999999999999</c:v>
                </c:pt>
                <c:pt idx="1545">
                  <c:v>7.3</c:v>
                </c:pt>
                <c:pt idx="1546">
                  <c:v>7.2949999999999999</c:v>
                </c:pt>
                <c:pt idx="1547">
                  <c:v>7.2949999999999999</c:v>
                </c:pt>
                <c:pt idx="1548">
                  <c:v>7.2925000000000004</c:v>
                </c:pt>
                <c:pt idx="1549">
                  <c:v>7.2812000000000001</c:v>
                </c:pt>
                <c:pt idx="1550">
                  <c:v>7.2649999999999997</c:v>
                </c:pt>
                <c:pt idx="1551">
                  <c:v>7.2525000000000004</c:v>
                </c:pt>
                <c:pt idx="1552">
                  <c:v>7.2412000000000001</c:v>
                </c:pt>
                <c:pt idx="1553">
                  <c:v>7.2350000000000003</c:v>
                </c:pt>
                <c:pt idx="1554">
                  <c:v>7.2275</c:v>
                </c:pt>
                <c:pt idx="1555">
                  <c:v>7.2262000000000004</c:v>
                </c:pt>
                <c:pt idx="1556">
                  <c:v>7.2175000000000002</c:v>
                </c:pt>
                <c:pt idx="1557">
                  <c:v>7.2187000000000001</c:v>
                </c:pt>
                <c:pt idx="1558">
                  <c:v>7.2169999999999996</c:v>
                </c:pt>
                <c:pt idx="1559">
                  <c:v>7.21</c:v>
                </c:pt>
                <c:pt idx="1560">
                  <c:v>7.2074999999999996</c:v>
                </c:pt>
                <c:pt idx="1561">
                  <c:v>7.2050000000000001</c:v>
                </c:pt>
                <c:pt idx="1562">
                  <c:v>7.2024999999999997</c:v>
                </c:pt>
                <c:pt idx="1563">
                  <c:v>6.8150000000000004</c:v>
                </c:pt>
                <c:pt idx="1564">
                  <c:v>6.7850000000000001</c:v>
                </c:pt>
                <c:pt idx="1565">
                  <c:v>6.7675000000000001</c:v>
                </c:pt>
                <c:pt idx="1566">
                  <c:v>6.7587000000000002</c:v>
                </c:pt>
                <c:pt idx="1567">
                  <c:v>6.7487000000000004</c:v>
                </c:pt>
                <c:pt idx="1568">
                  <c:v>6.74</c:v>
                </c:pt>
                <c:pt idx="1569">
                  <c:v>6.71</c:v>
                </c:pt>
                <c:pt idx="1570">
                  <c:v>6.7024999999999997</c:v>
                </c:pt>
                <c:pt idx="1571">
                  <c:v>6.7</c:v>
                </c:pt>
                <c:pt idx="1572">
                  <c:v>6.69</c:v>
                </c:pt>
                <c:pt idx="1573">
                  <c:v>6.6849999999999996</c:v>
                </c:pt>
                <c:pt idx="1574">
                  <c:v>6.6775000000000002</c:v>
                </c:pt>
                <c:pt idx="1575">
                  <c:v>6.6486999999999998</c:v>
                </c:pt>
                <c:pt idx="1576">
                  <c:v>6.6417999999999999</c:v>
                </c:pt>
                <c:pt idx="1577">
                  <c:v>6.6384999999999996</c:v>
                </c:pt>
                <c:pt idx="1578">
                  <c:v>6.6292</c:v>
                </c:pt>
                <c:pt idx="1579">
                  <c:v>6.6196000000000002</c:v>
                </c:pt>
                <c:pt idx="1580">
                  <c:v>6.6142000000000003</c:v>
                </c:pt>
                <c:pt idx="1581">
                  <c:v>6.6115000000000004</c:v>
                </c:pt>
                <c:pt idx="1582">
                  <c:v>6.6070000000000002</c:v>
                </c:pt>
                <c:pt idx="1583">
                  <c:v>6.2725</c:v>
                </c:pt>
                <c:pt idx="1584">
                  <c:v>6.2662000000000004</c:v>
                </c:pt>
                <c:pt idx="1585">
                  <c:v>6.2645</c:v>
                </c:pt>
                <c:pt idx="1586">
                  <c:v>6.2606999999999999</c:v>
                </c:pt>
                <c:pt idx="1587">
                  <c:v>6.2591999999999999</c:v>
                </c:pt>
                <c:pt idx="1588">
                  <c:v>6.2560000000000002</c:v>
                </c:pt>
                <c:pt idx="1589">
                  <c:v>6.2474999999999996</c:v>
                </c:pt>
                <c:pt idx="1590">
                  <c:v>6.2450000000000001</c:v>
                </c:pt>
                <c:pt idx="1591">
                  <c:v>6.2424999999999997</c:v>
                </c:pt>
                <c:pt idx="1592">
                  <c:v>6.2409999999999997</c:v>
                </c:pt>
                <c:pt idx="1593">
                  <c:v>6.2394999999999996</c:v>
                </c:pt>
                <c:pt idx="1594">
                  <c:v>6.2356999999999996</c:v>
                </c:pt>
                <c:pt idx="1595">
                  <c:v>6.2314999999999996</c:v>
                </c:pt>
                <c:pt idx="1596">
                  <c:v>6.2276999999999996</c:v>
                </c:pt>
                <c:pt idx="1597">
                  <c:v>6.1959999999999997</c:v>
                </c:pt>
                <c:pt idx="1598">
                  <c:v>6.1772</c:v>
                </c:pt>
                <c:pt idx="1599">
                  <c:v>5.78</c:v>
                </c:pt>
                <c:pt idx="1600">
                  <c:v>5.7774999999999999</c:v>
                </c:pt>
                <c:pt idx="1601">
                  <c:v>5.7727000000000004</c:v>
                </c:pt>
                <c:pt idx="1602">
                  <c:v>5.7687999999999997</c:v>
                </c:pt>
                <c:pt idx="1603">
                  <c:v>5.7644000000000002</c:v>
                </c:pt>
                <c:pt idx="1604">
                  <c:v>5.7622</c:v>
                </c:pt>
                <c:pt idx="1605">
                  <c:v>5.7549999999999999</c:v>
                </c:pt>
                <c:pt idx="1606">
                  <c:v>5.7525000000000004</c:v>
                </c:pt>
                <c:pt idx="1607">
                  <c:v>5.7481999999999998</c:v>
                </c:pt>
                <c:pt idx="1608">
                  <c:v>5.7441000000000004</c:v>
                </c:pt>
                <c:pt idx="1609">
                  <c:v>5.7394999999999996</c:v>
                </c:pt>
                <c:pt idx="1610">
                  <c:v>5.7347000000000001</c:v>
                </c:pt>
                <c:pt idx="1611">
                  <c:v>5.7324999999999999</c:v>
                </c:pt>
                <c:pt idx="1612">
                  <c:v>5.7286000000000001</c:v>
                </c:pt>
                <c:pt idx="1613">
                  <c:v>5.7229000000000001</c:v>
                </c:pt>
                <c:pt idx="1614">
                  <c:v>5.7088999999999999</c:v>
                </c:pt>
                <c:pt idx="1615">
                  <c:v>5.6959999999999997</c:v>
                </c:pt>
                <c:pt idx="1616">
                  <c:v>5.6924000000000001</c:v>
                </c:pt>
                <c:pt idx="1617">
                  <c:v>5.6849999999999996</c:v>
                </c:pt>
                <c:pt idx="1618">
                  <c:v>5.681</c:v>
                </c:pt>
                <c:pt idx="1619">
                  <c:v>5.6764999999999999</c:v>
                </c:pt>
                <c:pt idx="1620">
                  <c:v>5.673</c:v>
                </c:pt>
                <c:pt idx="1621">
                  <c:v>5.6710000000000003</c:v>
                </c:pt>
                <c:pt idx="1622">
                  <c:v>5.6654999999999998</c:v>
                </c:pt>
                <c:pt idx="1623">
                  <c:v>5.6609999999999996</c:v>
                </c:pt>
                <c:pt idx="1624">
                  <c:v>5.6559999999999997</c:v>
                </c:pt>
                <c:pt idx="1625">
                  <c:v>5.6550000000000002</c:v>
                </c:pt>
                <c:pt idx="1626">
                  <c:v>5.6505000000000001</c:v>
                </c:pt>
                <c:pt idx="1627">
                  <c:v>5.6452</c:v>
                </c:pt>
                <c:pt idx="1628">
                  <c:v>5.6101000000000001</c:v>
                </c:pt>
                <c:pt idx="1629">
                  <c:v>5.2975000000000003</c:v>
                </c:pt>
                <c:pt idx="1630">
                  <c:v>5.2887000000000004</c:v>
                </c:pt>
                <c:pt idx="1631">
                  <c:v>5.2843</c:v>
                </c:pt>
                <c:pt idx="1632">
                  <c:v>5.2664999999999997</c:v>
                </c:pt>
                <c:pt idx="1633">
                  <c:v>5.26</c:v>
                </c:pt>
                <c:pt idx="1634">
                  <c:v>5.2561999999999998</c:v>
                </c:pt>
                <c:pt idx="1635">
                  <c:v>5.2549999999999999</c:v>
                </c:pt>
                <c:pt idx="1636">
                  <c:v>5.2504999999999997</c:v>
                </c:pt>
                <c:pt idx="1637">
                  <c:v>5.2457000000000003</c:v>
                </c:pt>
                <c:pt idx="1638">
                  <c:v>5.2430000000000003</c:v>
                </c:pt>
                <c:pt idx="1639">
                  <c:v>5.2385000000000002</c:v>
                </c:pt>
                <c:pt idx="1640">
                  <c:v>5.2371999999999996</c:v>
                </c:pt>
                <c:pt idx="1641">
                  <c:v>5.2350000000000003</c:v>
                </c:pt>
                <c:pt idx="1642">
                  <c:v>5.2305000000000001</c:v>
                </c:pt>
                <c:pt idx="1643">
                  <c:v>5.2291999999999996</c:v>
                </c:pt>
                <c:pt idx="1644">
                  <c:v>5.2249999999999996</c:v>
                </c:pt>
                <c:pt idx="1645">
                  <c:v>5.2225000000000001</c:v>
                </c:pt>
                <c:pt idx="1646">
                  <c:v>5.2190000000000003</c:v>
                </c:pt>
                <c:pt idx="1647">
                  <c:v>5.2175000000000002</c:v>
                </c:pt>
                <c:pt idx="1648">
                  <c:v>5.2074999999999996</c:v>
                </c:pt>
                <c:pt idx="1649">
                  <c:v>5.2039999999999997</c:v>
                </c:pt>
                <c:pt idx="1650">
                  <c:v>5.2042000000000002</c:v>
                </c:pt>
                <c:pt idx="1651">
                  <c:v>5.2</c:v>
                </c:pt>
                <c:pt idx="1652">
                  <c:v>5.1974999999999998</c:v>
                </c:pt>
                <c:pt idx="1653">
                  <c:v>5.1950000000000003</c:v>
                </c:pt>
                <c:pt idx="1654">
                  <c:v>5.1924999999999999</c:v>
                </c:pt>
                <c:pt idx="1655">
                  <c:v>5.1877000000000004</c:v>
                </c:pt>
                <c:pt idx="1656">
                  <c:v>5.1840000000000002</c:v>
                </c:pt>
                <c:pt idx="1657">
                  <c:v>5.1779999999999999</c:v>
                </c:pt>
                <c:pt idx="1658">
                  <c:v>5.1740000000000004</c:v>
                </c:pt>
                <c:pt idx="1659">
                  <c:v>5.1702000000000004</c:v>
                </c:pt>
                <c:pt idx="1660">
                  <c:v>5.1687000000000003</c:v>
                </c:pt>
                <c:pt idx="1661">
                  <c:v>5.1668000000000003</c:v>
                </c:pt>
                <c:pt idx="1662">
                  <c:v>5.1359000000000004</c:v>
                </c:pt>
                <c:pt idx="1663">
                  <c:v>5.1292</c:v>
                </c:pt>
                <c:pt idx="1664">
                  <c:v>4.8036000000000003</c:v>
                </c:pt>
                <c:pt idx="1665">
                  <c:v>4.7969999999999997</c:v>
                </c:pt>
                <c:pt idx="1666">
                  <c:v>4.7934999999999999</c:v>
                </c:pt>
                <c:pt idx="1667">
                  <c:v>4.7895000000000003</c:v>
                </c:pt>
                <c:pt idx="1668">
                  <c:v>4.7874999999999996</c:v>
                </c:pt>
                <c:pt idx="1669">
                  <c:v>4.7845000000000004</c:v>
                </c:pt>
                <c:pt idx="1670">
                  <c:v>4.7792000000000003</c:v>
                </c:pt>
                <c:pt idx="1671">
                  <c:v>4.7774999999999999</c:v>
                </c:pt>
                <c:pt idx="1672">
                  <c:v>4.7750000000000004</c:v>
                </c:pt>
                <c:pt idx="1673">
                  <c:v>4.7725</c:v>
                </c:pt>
                <c:pt idx="1674">
                  <c:v>4.7690000000000001</c:v>
                </c:pt>
                <c:pt idx="1675">
                  <c:v>4.7676999999999996</c:v>
                </c:pt>
                <c:pt idx="1676">
                  <c:v>4.7640000000000002</c:v>
                </c:pt>
                <c:pt idx="1677">
                  <c:v>4.7619999999999996</c:v>
                </c:pt>
                <c:pt idx="1678">
                  <c:v>4.7584999999999997</c:v>
                </c:pt>
                <c:pt idx="1679">
                  <c:v>4.7602000000000002</c:v>
                </c:pt>
                <c:pt idx="1680">
                  <c:v>4.7576000000000001</c:v>
                </c:pt>
                <c:pt idx="1681">
                  <c:v>4.7530000000000001</c:v>
                </c:pt>
                <c:pt idx="1682">
                  <c:v>4.7522000000000002</c:v>
                </c:pt>
                <c:pt idx="1683">
                  <c:v>4.7511999999999999</c:v>
                </c:pt>
                <c:pt idx="1684">
                  <c:v>4.7507000000000001</c:v>
                </c:pt>
                <c:pt idx="1685">
                  <c:v>4.7460000000000004</c:v>
                </c:pt>
                <c:pt idx="1686">
                  <c:v>4.7422000000000004</c:v>
                </c:pt>
                <c:pt idx="1687">
                  <c:v>4.7415000000000003</c:v>
                </c:pt>
                <c:pt idx="1688">
                  <c:v>4.7366999999999999</c:v>
                </c:pt>
                <c:pt idx="1689">
                  <c:v>4.7335000000000003</c:v>
                </c:pt>
                <c:pt idx="1690">
                  <c:v>4.7324999999999999</c:v>
                </c:pt>
                <c:pt idx="1691">
                  <c:v>4.7290000000000001</c:v>
                </c:pt>
                <c:pt idx="1692">
                  <c:v>4.7275</c:v>
                </c:pt>
                <c:pt idx="1693">
                  <c:v>4.5605000000000002</c:v>
                </c:pt>
                <c:pt idx="1694">
                  <c:v>4.55</c:v>
                </c:pt>
                <c:pt idx="1695">
                  <c:v>4.5495000000000001</c:v>
                </c:pt>
                <c:pt idx="1696">
                  <c:v>4.5484999999999998</c:v>
                </c:pt>
                <c:pt idx="1697">
                  <c:v>4.5487000000000002</c:v>
                </c:pt>
                <c:pt idx="1698">
                  <c:v>4.5445000000000002</c:v>
                </c:pt>
                <c:pt idx="1699">
                  <c:v>4.5425000000000004</c:v>
                </c:pt>
                <c:pt idx="1700">
                  <c:v>4.5430000000000001</c:v>
                </c:pt>
                <c:pt idx="1701">
                  <c:v>4.5425000000000004</c:v>
                </c:pt>
                <c:pt idx="1702">
                  <c:v>4.5425000000000004</c:v>
                </c:pt>
                <c:pt idx="1703">
                  <c:v>4.5389999999999997</c:v>
                </c:pt>
                <c:pt idx="1704">
                  <c:v>4.5345000000000004</c:v>
                </c:pt>
                <c:pt idx="1705">
                  <c:v>4.5369999999999999</c:v>
                </c:pt>
                <c:pt idx="1706">
                  <c:v>4.5357000000000003</c:v>
                </c:pt>
                <c:pt idx="1707">
                  <c:v>4.5309999999999997</c:v>
                </c:pt>
                <c:pt idx="1708">
                  <c:v>4.5305999999999997</c:v>
                </c:pt>
                <c:pt idx="1709">
                  <c:v>4.5255000000000001</c:v>
                </c:pt>
                <c:pt idx="1710">
                  <c:v>4.5250000000000004</c:v>
                </c:pt>
                <c:pt idx="1711">
                  <c:v>4.5250000000000004</c:v>
                </c:pt>
                <c:pt idx="1712">
                  <c:v>4.5206999999999997</c:v>
                </c:pt>
                <c:pt idx="1713">
                  <c:v>4.5221999999999998</c:v>
                </c:pt>
                <c:pt idx="1714">
                  <c:v>4.5225</c:v>
                </c:pt>
                <c:pt idx="1715">
                  <c:v>4.5214999999999996</c:v>
                </c:pt>
                <c:pt idx="1716">
                  <c:v>4.5162000000000004</c:v>
                </c:pt>
                <c:pt idx="1717">
                  <c:v>4.5155000000000003</c:v>
                </c:pt>
                <c:pt idx="1718">
                  <c:v>4.5125000000000002</c:v>
                </c:pt>
                <c:pt idx="1719">
                  <c:v>4.516</c:v>
                </c:pt>
                <c:pt idx="1720">
                  <c:v>4.5110000000000001</c:v>
                </c:pt>
                <c:pt idx="1721">
                  <c:v>4.5060000000000002</c:v>
                </c:pt>
                <c:pt idx="1722">
                  <c:v>4.5030000000000001</c:v>
                </c:pt>
                <c:pt idx="1723">
                  <c:v>4.5</c:v>
                </c:pt>
                <c:pt idx="1724">
                  <c:v>4.5007000000000001</c:v>
                </c:pt>
                <c:pt idx="1725">
                  <c:v>4.4987000000000004</c:v>
                </c:pt>
                <c:pt idx="1726">
                  <c:v>4.4930000000000003</c:v>
                </c:pt>
                <c:pt idx="1727">
                  <c:v>4.5049999999999999</c:v>
                </c:pt>
                <c:pt idx="1728">
                  <c:v>4.5025000000000004</c:v>
                </c:pt>
                <c:pt idx="1729">
                  <c:v>4.4984999999999999</c:v>
                </c:pt>
                <c:pt idx="1730">
                  <c:v>4.4951999999999996</c:v>
                </c:pt>
                <c:pt idx="1731">
                  <c:v>4.4924999999999997</c:v>
                </c:pt>
                <c:pt idx="1732">
                  <c:v>4.4924999999999997</c:v>
                </c:pt>
                <c:pt idx="1733">
                  <c:v>4.49</c:v>
                </c:pt>
                <c:pt idx="1734">
                  <c:v>4.4874999999999998</c:v>
                </c:pt>
                <c:pt idx="1735">
                  <c:v>4.4835000000000003</c:v>
                </c:pt>
                <c:pt idx="1736">
                  <c:v>4.4855</c:v>
                </c:pt>
                <c:pt idx="1737">
                  <c:v>4.4871999999999996</c:v>
                </c:pt>
                <c:pt idx="1738">
                  <c:v>4.4885000000000002</c:v>
                </c:pt>
                <c:pt idx="1739">
                  <c:v>4.4889000000000001</c:v>
                </c:pt>
                <c:pt idx="1740">
                  <c:v>4.4844999999999997</c:v>
                </c:pt>
                <c:pt idx="1741">
                  <c:v>4.4824999999999999</c:v>
                </c:pt>
                <c:pt idx="1742">
                  <c:v>4.4824999999999999</c:v>
                </c:pt>
                <c:pt idx="1743">
                  <c:v>4.4819000000000004</c:v>
                </c:pt>
                <c:pt idx="1744">
                  <c:v>4.4775</c:v>
                </c:pt>
                <c:pt idx="1745">
                  <c:v>4.4782000000000002</c:v>
                </c:pt>
                <c:pt idx="1746">
                  <c:v>4.4775</c:v>
                </c:pt>
                <c:pt idx="1747">
                  <c:v>4.4744999999999999</c:v>
                </c:pt>
                <c:pt idx="1748">
                  <c:v>4.4710000000000001</c:v>
                </c:pt>
                <c:pt idx="1749">
                  <c:v>4.5</c:v>
                </c:pt>
                <c:pt idx="1750">
                  <c:v>4.4965000000000002</c:v>
                </c:pt>
                <c:pt idx="1751">
                  <c:v>4.4939999999999998</c:v>
                </c:pt>
                <c:pt idx="1752">
                  <c:v>4.4950000000000001</c:v>
                </c:pt>
                <c:pt idx="1753">
                  <c:v>4.4922000000000004</c:v>
                </c:pt>
                <c:pt idx="1754">
                  <c:v>4.4882</c:v>
                </c:pt>
                <c:pt idx="1755">
                  <c:v>4.4878</c:v>
                </c:pt>
                <c:pt idx="1756">
                  <c:v>4.4874999999999998</c:v>
                </c:pt>
                <c:pt idx="1757">
                  <c:v>4.4850000000000003</c:v>
                </c:pt>
                <c:pt idx="1758">
                  <c:v>4.4842000000000004</c:v>
                </c:pt>
                <c:pt idx="1759">
                  <c:v>4.4805000000000001</c:v>
                </c:pt>
                <c:pt idx="1760">
                  <c:v>4.4809999999999999</c:v>
                </c:pt>
                <c:pt idx="1761">
                  <c:v>4.4812000000000003</c:v>
                </c:pt>
                <c:pt idx="1762">
                  <c:v>4.4775999999999998</c:v>
                </c:pt>
                <c:pt idx="1763">
                  <c:v>4.4775</c:v>
                </c:pt>
                <c:pt idx="1764">
                  <c:v>4.4775</c:v>
                </c:pt>
                <c:pt idx="1765">
                  <c:v>4.4749999999999996</c:v>
                </c:pt>
                <c:pt idx="1766">
                  <c:v>4.4715999999999996</c:v>
                </c:pt>
                <c:pt idx="1767">
                  <c:v>4.47</c:v>
                </c:pt>
                <c:pt idx="1768">
                  <c:v>4.4676999999999998</c:v>
                </c:pt>
                <c:pt idx="1769">
                  <c:v>4.4675000000000002</c:v>
                </c:pt>
                <c:pt idx="1770">
                  <c:v>4.4654999999999996</c:v>
                </c:pt>
                <c:pt idx="1771">
                  <c:v>4.4667000000000003</c:v>
                </c:pt>
                <c:pt idx="1772">
                  <c:v>4.4637000000000002</c:v>
                </c:pt>
                <c:pt idx="1773">
                  <c:v>4.4615</c:v>
                </c:pt>
                <c:pt idx="1774">
                  <c:v>4.4615</c:v>
                </c:pt>
                <c:pt idx="1775">
                  <c:v>4.4592000000000001</c:v>
                </c:pt>
                <c:pt idx="1776">
                  <c:v>4.4565000000000001</c:v>
                </c:pt>
                <c:pt idx="1777">
                  <c:v>4.4542000000000002</c:v>
                </c:pt>
                <c:pt idx="1778">
                  <c:v>4.452</c:v>
                </c:pt>
                <c:pt idx="1779">
                  <c:v>4.45</c:v>
                </c:pt>
                <c:pt idx="1780">
                  <c:v>4.4504000000000001</c:v>
                </c:pt>
                <c:pt idx="1781">
                  <c:v>4.4477000000000002</c:v>
                </c:pt>
                <c:pt idx="1782">
                  <c:v>4.4465000000000003</c:v>
                </c:pt>
                <c:pt idx="1783">
                  <c:v>4.4436999999999998</c:v>
                </c:pt>
                <c:pt idx="1784">
                  <c:v>4.4424999999999999</c:v>
                </c:pt>
                <c:pt idx="1785">
                  <c:v>4.4420000000000002</c:v>
                </c:pt>
                <c:pt idx="1786">
                  <c:v>4.4414999999999996</c:v>
                </c:pt>
                <c:pt idx="1787">
                  <c:v>4.4489999999999998</c:v>
                </c:pt>
                <c:pt idx="1788">
                  <c:v>4.2948000000000004</c:v>
                </c:pt>
                <c:pt idx="1789">
                  <c:v>4.2925000000000004</c:v>
                </c:pt>
                <c:pt idx="1790">
                  <c:v>4.2915000000000001</c:v>
                </c:pt>
                <c:pt idx="1791">
                  <c:v>4.2889999999999997</c:v>
                </c:pt>
                <c:pt idx="1792">
                  <c:v>4.2874999999999996</c:v>
                </c:pt>
                <c:pt idx="1793">
                  <c:v>4.2865000000000002</c:v>
                </c:pt>
                <c:pt idx="1794">
                  <c:v>4.2874999999999996</c:v>
                </c:pt>
                <c:pt idx="1795">
                  <c:v>4.2862</c:v>
                </c:pt>
                <c:pt idx="1796">
                  <c:v>4.2831000000000001</c:v>
                </c:pt>
                <c:pt idx="1797">
                  <c:v>4.2824999999999998</c:v>
                </c:pt>
                <c:pt idx="1798">
                  <c:v>4.2812000000000001</c:v>
                </c:pt>
                <c:pt idx="1799">
                  <c:v>4.2824999999999998</c:v>
                </c:pt>
                <c:pt idx="1800">
                  <c:v>4.2812999999999999</c:v>
                </c:pt>
                <c:pt idx="1801">
                  <c:v>4.2824999999999998</c:v>
                </c:pt>
                <c:pt idx="1802">
                  <c:v>4.2824999999999998</c:v>
                </c:pt>
                <c:pt idx="1803">
                  <c:v>4.282</c:v>
                </c:pt>
                <c:pt idx="1804">
                  <c:v>4.2850000000000001</c:v>
                </c:pt>
                <c:pt idx="1805">
                  <c:v>4.2839999999999998</c:v>
                </c:pt>
                <c:pt idx="1806">
                  <c:v>4.2845000000000004</c:v>
                </c:pt>
                <c:pt idx="1807">
                  <c:v>4.2845000000000004</c:v>
                </c:pt>
                <c:pt idx="1808">
                  <c:v>4.2830000000000004</c:v>
                </c:pt>
                <c:pt idx="1809">
                  <c:v>4.2824999999999998</c:v>
                </c:pt>
                <c:pt idx="1810">
                  <c:v>4.2812000000000001</c:v>
                </c:pt>
                <c:pt idx="1811">
                  <c:v>4.2812000000000001</c:v>
                </c:pt>
                <c:pt idx="1812">
                  <c:v>4.2850000000000001</c:v>
                </c:pt>
                <c:pt idx="1813">
                  <c:v>4.2836999999999996</c:v>
                </c:pt>
                <c:pt idx="1814">
                  <c:v>4.2824999999999998</c:v>
                </c:pt>
                <c:pt idx="1815">
                  <c:v>4.2824999999999998</c:v>
                </c:pt>
                <c:pt idx="1816">
                  <c:v>4.2830000000000004</c:v>
                </c:pt>
                <c:pt idx="1817">
                  <c:v>4.2862</c:v>
                </c:pt>
                <c:pt idx="1818">
                  <c:v>4.2850000000000001</c:v>
                </c:pt>
                <c:pt idx="1819">
                  <c:v>4.2874999999999996</c:v>
                </c:pt>
                <c:pt idx="1820">
                  <c:v>4.2874999999999996</c:v>
                </c:pt>
                <c:pt idx="1821">
                  <c:v>4.2880000000000003</c:v>
                </c:pt>
                <c:pt idx="1822">
                  <c:v>4.2885</c:v>
                </c:pt>
                <c:pt idx="1823">
                  <c:v>4.2874999999999996</c:v>
                </c:pt>
                <c:pt idx="1824">
                  <c:v>4.2874999999999996</c:v>
                </c:pt>
                <c:pt idx="1825">
                  <c:v>4.2885</c:v>
                </c:pt>
                <c:pt idx="1826">
                  <c:v>4.2874999999999996</c:v>
                </c:pt>
                <c:pt idx="1827">
                  <c:v>4.2885</c:v>
                </c:pt>
                <c:pt idx="1828">
                  <c:v>4.2850000000000001</c:v>
                </c:pt>
                <c:pt idx="1829">
                  <c:v>4.2831000000000001</c:v>
                </c:pt>
                <c:pt idx="1830">
                  <c:v>4.2815000000000003</c:v>
                </c:pt>
                <c:pt idx="1831">
                  <c:v>4.2824999999999998</c:v>
                </c:pt>
                <c:pt idx="1832">
                  <c:v>4.2828999999999997</c:v>
                </c:pt>
                <c:pt idx="1833">
                  <c:v>4.2809999999999997</c:v>
                </c:pt>
                <c:pt idx="1834">
                  <c:v>4.2809999999999997</c:v>
                </c:pt>
                <c:pt idx="1835">
                  <c:v>4.2824999999999998</c:v>
                </c:pt>
                <c:pt idx="1836">
                  <c:v>4.2809999999999997</c:v>
                </c:pt>
                <c:pt idx="1837">
                  <c:v>4.2809999999999997</c:v>
                </c:pt>
                <c:pt idx="1838">
                  <c:v>4.2809999999999997</c:v>
                </c:pt>
                <c:pt idx="1839">
                  <c:v>4.2830000000000004</c:v>
                </c:pt>
                <c:pt idx="1840">
                  <c:v>4.2850000000000001</c:v>
                </c:pt>
                <c:pt idx="1841">
                  <c:v>4.2851999999999997</c:v>
                </c:pt>
                <c:pt idx="1842">
                  <c:v>4.2859999999999996</c:v>
                </c:pt>
                <c:pt idx="1843">
                  <c:v>4.2839999999999998</c:v>
                </c:pt>
                <c:pt idx="1844">
                  <c:v>4.2836999999999996</c:v>
                </c:pt>
                <c:pt idx="1845">
                  <c:v>4.2836999999999996</c:v>
                </c:pt>
                <c:pt idx="1846">
                  <c:v>4.2850000000000001</c:v>
                </c:pt>
                <c:pt idx="1847">
                  <c:v>4.2874999999999996</c:v>
                </c:pt>
                <c:pt idx="1848">
                  <c:v>4.2872000000000003</c:v>
                </c:pt>
                <c:pt idx="1849">
                  <c:v>4.2896999999999998</c:v>
                </c:pt>
                <c:pt idx="1850">
                  <c:v>4.29</c:v>
                </c:pt>
                <c:pt idx="1851">
                  <c:v>4.2892000000000001</c:v>
                </c:pt>
                <c:pt idx="1852">
                  <c:v>4.2889999999999997</c:v>
                </c:pt>
                <c:pt idx="1853">
                  <c:v>4.2885</c:v>
                </c:pt>
                <c:pt idx="1854">
                  <c:v>4.2744999999999997</c:v>
                </c:pt>
                <c:pt idx="1855">
                  <c:v>4.2815000000000003</c:v>
                </c:pt>
                <c:pt idx="1856">
                  <c:v>4.2824</c:v>
                </c:pt>
                <c:pt idx="1857">
                  <c:v>4.2815000000000003</c:v>
                </c:pt>
                <c:pt idx="1858">
                  <c:v>4.2850000000000001</c:v>
                </c:pt>
                <c:pt idx="1859">
                  <c:v>4.2850000000000001</c:v>
                </c:pt>
                <c:pt idx="1860">
                  <c:v>4.2839999999999998</c:v>
                </c:pt>
                <c:pt idx="1861">
                  <c:v>4.2830000000000004</c:v>
                </c:pt>
                <c:pt idx="1862">
                  <c:v>4.2824999999999998</c:v>
                </c:pt>
                <c:pt idx="1863">
                  <c:v>4.2824999999999998</c:v>
                </c:pt>
                <c:pt idx="1864">
                  <c:v>4.2809999999999997</c:v>
                </c:pt>
                <c:pt idx="1865">
                  <c:v>4.2821999999999996</c:v>
                </c:pt>
                <c:pt idx="1866">
                  <c:v>4.2815000000000003</c:v>
                </c:pt>
                <c:pt idx="1867">
                  <c:v>4.2850000000000001</c:v>
                </c:pt>
                <c:pt idx="1868">
                  <c:v>4.2827000000000002</c:v>
                </c:pt>
                <c:pt idx="1869">
                  <c:v>4.282</c:v>
                </c:pt>
                <c:pt idx="1870">
                  <c:v>4.2850000000000001</c:v>
                </c:pt>
                <c:pt idx="1871">
                  <c:v>4.2858999999999998</c:v>
                </c:pt>
                <c:pt idx="1872">
                  <c:v>4.2874999999999996</c:v>
                </c:pt>
                <c:pt idx="1873">
                  <c:v>4.2850000000000001</c:v>
                </c:pt>
                <c:pt idx="1874">
                  <c:v>4.2854999999999999</c:v>
                </c:pt>
                <c:pt idx="1875">
                  <c:v>4.2855999999999996</c:v>
                </c:pt>
                <c:pt idx="1876">
                  <c:v>4.2850000000000001</c:v>
                </c:pt>
                <c:pt idx="1877">
                  <c:v>4.2850000000000001</c:v>
                </c:pt>
                <c:pt idx="1878">
                  <c:v>4.2827000000000002</c:v>
                </c:pt>
                <c:pt idx="1879">
                  <c:v>4.2862999999999998</c:v>
                </c:pt>
                <c:pt idx="1880">
                  <c:v>4.5199999999999996</c:v>
                </c:pt>
                <c:pt idx="1881">
                  <c:v>4.53</c:v>
                </c:pt>
                <c:pt idx="1882">
                  <c:v>4.5292000000000003</c:v>
                </c:pt>
                <c:pt idx="1883">
                  <c:v>4.5289999999999999</c:v>
                </c:pt>
                <c:pt idx="1884">
                  <c:v>4.5289999999999999</c:v>
                </c:pt>
                <c:pt idx="1885">
                  <c:v>4.5265000000000004</c:v>
                </c:pt>
                <c:pt idx="1886">
                  <c:v>4.5265000000000004</c:v>
                </c:pt>
                <c:pt idx="1887">
                  <c:v>4.5244999999999997</c:v>
                </c:pt>
                <c:pt idx="1888">
                  <c:v>4.524</c:v>
                </c:pt>
                <c:pt idx="1889">
                  <c:v>4.5235000000000003</c:v>
                </c:pt>
                <c:pt idx="1890">
                  <c:v>4.5250000000000004</c:v>
                </c:pt>
                <c:pt idx="1891">
                  <c:v>4.524</c:v>
                </c:pt>
                <c:pt idx="1892">
                  <c:v>4.5225</c:v>
                </c:pt>
                <c:pt idx="1893">
                  <c:v>4.5244999999999997</c:v>
                </c:pt>
                <c:pt idx="1894">
                  <c:v>4.5227000000000004</c:v>
                </c:pt>
                <c:pt idx="1895">
                  <c:v>4.5214999999999996</c:v>
                </c:pt>
                <c:pt idx="1896">
                  <c:v>4.5214999999999996</c:v>
                </c:pt>
                <c:pt idx="1897">
                  <c:v>4.4922000000000004</c:v>
                </c:pt>
                <c:pt idx="1898">
                  <c:v>4.5054999999999996</c:v>
                </c:pt>
                <c:pt idx="1899">
                  <c:v>4.5140000000000002</c:v>
                </c:pt>
                <c:pt idx="1900">
                  <c:v>4.5140000000000002</c:v>
                </c:pt>
                <c:pt idx="1901">
                  <c:v>4.5129999999999999</c:v>
                </c:pt>
                <c:pt idx="1902">
                  <c:v>4.5125000000000002</c:v>
                </c:pt>
                <c:pt idx="1903">
                  <c:v>4.5149999999999997</c:v>
                </c:pt>
                <c:pt idx="1904">
                  <c:v>4.5141999999999998</c:v>
                </c:pt>
                <c:pt idx="1905">
                  <c:v>4.5134999999999996</c:v>
                </c:pt>
                <c:pt idx="1906">
                  <c:v>4.5125000000000002</c:v>
                </c:pt>
                <c:pt idx="1907">
                  <c:v>4.5140000000000002</c:v>
                </c:pt>
                <c:pt idx="1908">
                  <c:v>4.5125000000000002</c:v>
                </c:pt>
                <c:pt idx="1909">
                  <c:v>4.5133000000000001</c:v>
                </c:pt>
                <c:pt idx="1910">
                  <c:v>4.5114999999999998</c:v>
                </c:pt>
                <c:pt idx="1911">
                  <c:v>4.5125000000000002</c:v>
                </c:pt>
                <c:pt idx="1912">
                  <c:v>4.5147000000000004</c:v>
                </c:pt>
                <c:pt idx="1913">
                  <c:v>4.5199999999999996</c:v>
                </c:pt>
                <c:pt idx="1914">
                  <c:v>4.5315000000000003</c:v>
                </c:pt>
                <c:pt idx="1915">
                  <c:v>4.7525000000000004</c:v>
                </c:pt>
                <c:pt idx="1916">
                  <c:v>4.7531999999999996</c:v>
                </c:pt>
                <c:pt idx="1917">
                  <c:v>4.7527999999999997</c:v>
                </c:pt>
                <c:pt idx="1918">
                  <c:v>4.7549999999999999</c:v>
                </c:pt>
                <c:pt idx="1919">
                  <c:v>4.7575000000000003</c:v>
                </c:pt>
                <c:pt idx="1920">
                  <c:v>4.7587000000000002</c:v>
                </c:pt>
                <c:pt idx="1921">
                  <c:v>4.7549999999999999</c:v>
                </c:pt>
                <c:pt idx="1922">
                  <c:v>4.7544000000000004</c:v>
                </c:pt>
                <c:pt idx="1923">
                  <c:v>4.7545000000000002</c:v>
                </c:pt>
                <c:pt idx="1924">
                  <c:v>4.7502000000000004</c:v>
                </c:pt>
                <c:pt idx="1925">
                  <c:v>4.75</c:v>
                </c:pt>
                <c:pt idx="1926">
                  <c:v>4.7510000000000003</c:v>
                </c:pt>
                <c:pt idx="1927">
                  <c:v>4.7489999999999997</c:v>
                </c:pt>
                <c:pt idx="1928">
                  <c:v>4.7502000000000004</c:v>
                </c:pt>
                <c:pt idx="1929">
                  <c:v>4.7454999999999998</c:v>
                </c:pt>
                <c:pt idx="1930">
                  <c:v>4.7424999999999997</c:v>
                </c:pt>
                <c:pt idx="1931">
                  <c:v>4.7435999999999998</c:v>
                </c:pt>
                <c:pt idx="1932">
                  <c:v>4.7470999999999997</c:v>
                </c:pt>
                <c:pt idx="1933">
                  <c:v>4.7484999999999999</c:v>
                </c:pt>
                <c:pt idx="1934">
                  <c:v>4.7445000000000004</c:v>
                </c:pt>
                <c:pt idx="1935">
                  <c:v>4.7450000000000001</c:v>
                </c:pt>
                <c:pt idx="1936">
                  <c:v>4.7424999999999997</c:v>
                </c:pt>
                <c:pt idx="1937">
                  <c:v>4.7450000000000001</c:v>
                </c:pt>
                <c:pt idx="1938">
                  <c:v>4.7450000000000001</c:v>
                </c:pt>
                <c:pt idx="1939">
                  <c:v>4.7450000000000001</c:v>
                </c:pt>
                <c:pt idx="1940">
                  <c:v>4.7439999999999998</c:v>
                </c:pt>
                <c:pt idx="1941">
                  <c:v>4.7445000000000004</c:v>
                </c:pt>
                <c:pt idx="1942">
                  <c:v>4.7474999999999996</c:v>
                </c:pt>
                <c:pt idx="1943">
                  <c:v>4.7474999999999996</c:v>
                </c:pt>
                <c:pt idx="1944">
                  <c:v>4.7465000000000002</c:v>
                </c:pt>
                <c:pt idx="1945">
                  <c:v>4.7474999999999996</c:v>
                </c:pt>
                <c:pt idx="1946">
                  <c:v>4.7487000000000004</c:v>
                </c:pt>
                <c:pt idx="1947">
                  <c:v>4.7489999999999997</c:v>
                </c:pt>
                <c:pt idx="1948">
                  <c:v>4.7515000000000001</c:v>
                </c:pt>
                <c:pt idx="1949">
                  <c:v>4.9649999999999999</c:v>
                </c:pt>
                <c:pt idx="1950">
                  <c:v>4.9824999999999999</c:v>
                </c:pt>
                <c:pt idx="1951">
                  <c:v>4.9850000000000003</c:v>
                </c:pt>
                <c:pt idx="1952">
                  <c:v>4.9874999999999998</c:v>
                </c:pt>
                <c:pt idx="1953">
                  <c:v>4.9824999999999999</c:v>
                </c:pt>
                <c:pt idx="1954">
                  <c:v>4.9850000000000003</c:v>
                </c:pt>
                <c:pt idx="1955">
                  <c:v>4.9862000000000002</c:v>
                </c:pt>
                <c:pt idx="1956">
                  <c:v>4.9824999999999999</c:v>
                </c:pt>
                <c:pt idx="1957">
                  <c:v>4.9856999999999996</c:v>
                </c:pt>
                <c:pt idx="1958">
                  <c:v>4.9805999999999999</c:v>
                </c:pt>
                <c:pt idx="1959">
                  <c:v>4.9855</c:v>
                </c:pt>
                <c:pt idx="1960">
                  <c:v>4.9874999999999998</c:v>
                </c:pt>
                <c:pt idx="1961">
                  <c:v>4.9824999999999999</c:v>
                </c:pt>
                <c:pt idx="1962">
                  <c:v>4.9824999999999999</c:v>
                </c:pt>
                <c:pt idx="1963">
                  <c:v>4.9912000000000001</c:v>
                </c:pt>
                <c:pt idx="1964">
                  <c:v>4.9924999999999997</c:v>
                </c:pt>
                <c:pt idx="1965">
                  <c:v>4.9950000000000001</c:v>
                </c:pt>
                <c:pt idx="1966">
                  <c:v>4.9950000000000001</c:v>
                </c:pt>
                <c:pt idx="1967">
                  <c:v>4.9950000000000001</c:v>
                </c:pt>
                <c:pt idx="1968">
                  <c:v>4.9962</c:v>
                </c:pt>
                <c:pt idx="1969">
                  <c:v>4.9974999999999996</c:v>
                </c:pt>
                <c:pt idx="1970">
                  <c:v>5.0004</c:v>
                </c:pt>
                <c:pt idx="1971">
                  <c:v>5.0022000000000002</c:v>
                </c:pt>
                <c:pt idx="1972">
                  <c:v>4.9753999999999996</c:v>
                </c:pt>
                <c:pt idx="1973">
                  <c:v>4.9901999999999997</c:v>
                </c:pt>
                <c:pt idx="1974">
                  <c:v>4.9950000000000001</c:v>
                </c:pt>
                <c:pt idx="1975">
                  <c:v>4.9974999999999996</c:v>
                </c:pt>
                <c:pt idx="1976">
                  <c:v>4.9987000000000004</c:v>
                </c:pt>
                <c:pt idx="1977">
                  <c:v>5.0010000000000003</c:v>
                </c:pt>
                <c:pt idx="1978">
                  <c:v>5.22</c:v>
                </c:pt>
                <c:pt idx="1979">
                  <c:v>5.23</c:v>
                </c:pt>
                <c:pt idx="1980">
                  <c:v>5.2290000000000001</c:v>
                </c:pt>
                <c:pt idx="1981">
                  <c:v>5.2335000000000003</c:v>
                </c:pt>
                <c:pt idx="1982">
                  <c:v>5.2362000000000002</c:v>
                </c:pt>
                <c:pt idx="1983">
                  <c:v>5.2367999999999997</c:v>
                </c:pt>
                <c:pt idx="1984">
                  <c:v>5.2374999999999998</c:v>
                </c:pt>
                <c:pt idx="1985">
                  <c:v>5.2350000000000003</c:v>
                </c:pt>
                <c:pt idx="1986">
                  <c:v>5.2350000000000003</c:v>
                </c:pt>
                <c:pt idx="1987">
                  <c:v>5.2324999999999999</c:v>
                </c:pt>
                <c:pt idx="1988">
                  <c:v>5.2275</c:v>
                </c:pt>
                <c:pt idx="1989">
                  <c:v>5.2275</c:v>
                </c:pt>
                <c:pt idx="1990">
                  <c:v>5.2309999999999999</c:v>
                </c:pt>
                <c:pt idx="1991">
                  <c:v>5.2314999999999996</c:v>
                </c:pt>
                <c:pt idx="1992">
                  <c:v>5.2270000000000003</c:v>
                </c:pt>
                <c:pt idx="1993">
                  <c:v>5.2324999999999999</c:v>
                </c:pt>
                <c:pt idx="1994">
                  <c:v>5.2371999999999996</c:v>
                </c:pt>
                <c:pt idx="1995">
                  <c:v>5.2350000000000003</c:v>
                </c:pt>
                <c:pt idx="1996">
                  <c:v>5.24</c:v>
                </c:pt>
                <c:pt idx="1997">
                  <c:v>5.2362000000000002</c:v>
                </c:pt>
                <c:pt idx="1998">
                  <c:v>5.2377000000000002</c:v>
                </c:pt>
                <c:pt idx="1999">
                  <c:v>5.2389000000000001</c:v>
                </c:pt>
                <c:pt idx="2000">
                  <c:v>5.2382</c:v>
                </c:pt>
                <c:pt idx="2001">
                  <c:v>5.2491000000000003</c:v>
                </c:pt>
                <c:pt idx="2002">
                  <c:v>5.7</c:v>
                </c:pt>
                <c:pt idx="2003">
                  <c:v>5.71</c:v>
                </c:pt>
                <c:pt idx="2004">
                  <c:v>5.71</c:v>
                </c:pt>
                <c:pt idx="2005">
                  <c:v>5.7119999999999997</c:v>
                </c:pt>
                <c:pt idx="2006">
                  <c:v>5.7122000000000002</c:v>
                </c:pt>
                <c:pt idx="2007">
                  <c:v>5.7134999999999998</c:v>
                </c:pt>
                <c:pt idx="2008">
                  <c:v>5.7140000000000004</c:v>
                </c:pt>
                <c:pt idx="2009">
                  <c:v>5.7157</c:v>
                </c:pt>
                <c:pt idx="2010">
                  <c:v>5.7149999999999999</c:v>
                </c:pt>
                <c:pt idx="2011">
                  <c:v>5.7149999999999999</c:v>
                </c:pt>
                <c:pt idx="2012">
                  <c:v>5.7149999999999999</c:v>
                </c:pt>
                <c:pt idx="2013">
                  <c:v>5.7175000000000002</c:v>
                </c:pt>
                <c:pt idx="2014">
                  <c:v>5.7164999999999999</c:v>
                </c:pt>
                <c:pt idx="2015">
                  <c:v>5.718</c:v>
                </c:pt>
                <c:pt idx="2016">
                  <c:v>5.7184999999999997</c:v>
                </c:pt>
                <c:pt idx="2017">
                  <c:v>5.7190000000000003</c:v>
                </c:pt>
                <c:pt idx="2018">
                  <c:v>5.7190000000000003</c:v>
                </c:pt>
                <c:pt idx="2019">
                  <c:v>5.7210000000000001</c:v>
                </c:pt>
                <c:pt idx="2020">
                  <c:v>5.7225000000000001</c:v>
                </c:pt>
                <c:pt idx="2021">
                  <c:v>5.7225000000000001</c:v>
                </c:pt>
                <c:pt idx="2022">
                  <c:v>5.7214999999999998</c:v>
                </c:pt>
                <c:pt idx="2023">
                  <c:v>5.7220000000000004</c:v>
                </c:pt>
                <c:pt idx="2024">
                  <c:v>5.7225000000000001</c:v>
                </c:pt>
                <c:pt idx="2025">
                  <c:v>5.7262000000000004</c:v>
                </c:pt>
                <c:pt idx="2026">
                  <c:v>5.7279999999999998</c:v>
                </c:pt>
                <c:pt idx="2027">
                  <c:v>5.7276999999999996</c:v>
                </c:pt>
                <c:pt idx="2028">
                  <c:v>5.7298</c:v>
                </c:pt>
                <c:pt idx="2029">
                  <c:v>5.7319000000000004</c:v>
                </c:pt>
                <c:pt idx="2030">
                  <c:v>5.7329999999999997</c:v>
                </c:pt>
                <c:pt idx="2031">
                  <c:v>5.7329999999999997</c:v>
                </c:pt>
                <c:pt idx="2032">
                  <c:v>5.734</c:v>
                </c:pt>
                <c:pt idx="2033">
                  <c:v>5.7365000000000004</c:v>
                </c:pt>
                <c:pt idx="2034">
                  <c:v>5.7380000000000004</c:v>
                </c:pt>
                <c:pt idx="2035">
                  <c:v>5.7389999999999999</c:v>
                </c:pt>
                <c:pt idx="2036">
                  <c:v>5.7415000000000003</c:v>
                </c:pt>
                <c:pt idx="2037">
                  <c:v>5.742</c:v>
                </c:pt>
                <c:pt idx="2038">
                  <c:v>5.7450000000000001</c:v>
                </c:pt>
                <c:pt idx="2039">
                  <c:v>5.7450000000000001</c:v>
                </c:pt>
                <c:pt idx="2040">
                  <c:v>5.7537000000000003</c:v>
                </c:pt>
                <c:pt idx="2041">
                  <c:v>6.2012</c:v>
                </c:pt>
                <c:pt idx="2042">
                  <c:v>6.2256</c:v>
                </c:pt>
                <c:pt idx="2043">
                  <c:v>6.2324999999999999</c:v>
                </c:pt>
                <c:pt idx="2044">
                  <c:v>6.2374999999999998</c:v>
                </c:pt>
                <c:pt idx="2045">
                  <c:v>6.2324999999999999</c:v>
                </c:pt>
                <c:pt idx="2046">
                  <c:v>6.2275</c:v>
                </c:pt>
                <c:pt idx="2047">
                  <c:v>6.2249999999999996</c:v>
                </c:pt>
                <c:pt idx="2048">
                  <c:v>6.2249999999999996</c:v>
                </c:pt>
                <c:pt idx="2049">
                  <c:v>6.2210000000000001</c:v>
                </c:pt>
                <c:pt idx="2050">
                  <c:v>6.2279999999999998</c:v>
                </c:pt>
                <c:pt idx="2051">
                  <c:v>6.234</c:v>
                </c:pt>
                <c:pt idx="2052">
                  <c:v>6.2366999999999999</c:v>
                </c:pt>
                <c:pt idx="2053">
                  <c:v>6.2394999999999996</c:v>
                </c:pt>
                <c:pt idx="2054">
                  <c:v>6.2409999999999997</c:v>
                </c:pt>
                <c:pt idx="2055">
                  <c:v>6.2362000000000002</c:v>
                </c:pt>
                <c:pt idx="2056">
                  <c:v>6.2314999999999996</c:v>
                </c:pt>
                <c:pt idx="2057">
                  <c:v>6.23</c:v>
                </c:pt>
                <c:pt idx="2058">
                  <c:v>6.23</c:v>
                </c:pt>
                <c:pt idx="2059">
                  <c:v>6.2350000000000003</c:v>
                </c:pt>
                <c:pt idx="2060">
                  <c:v>6.2374999999999998</c:v>
                </c:pt>
                <c:pt idx="2061">
                  <c:v>6.2374999999999998</c:v>
                </c:pt>
                <c:pt idx="2062">
                  <c:v>6.2424999999999997</c:v>
                </c:pt>
                <c:pt idx="2063">
                  <c:v>6.2487000000000004</c:v>
                </c:pt>
                <c:pt idx="2064">
                  <c:v>6.2523</c:v>
                </c:pt>
                <c:pt idx="2065">
                  <c:v>6.26</c:v>
                </c:pt>
                <c:pt idx="2066">
                  <c:v>6.2625000000000002</c:v>
                </c:pt>
                <c:pt idx="2067">
                  <c:v>6.2750000000000004</c:v>
                </c:pt>
                <c:pt idx="2068">
                  <c:v>6.2824999999999998</c:v>
                </c:pt>
                <c:pt idx="2069">
                  <c:v>6.2911999999999999</c:v>
                </c:pt>
                <c:pt idx="2070">
                  <c:v>6.7175000000000002</c:v>
                </c:pt>
                <c:pt idx="2071">
                  <c:v>6.7237</c:v>
                </c:pt>
                <c:pt idx="2072">
                  <c:v>6.7264999999999997</c:v>
                </c:pt>
                <c:pt idx="2073">
                  <c:v>6.7264999999999997</c:v>
                </c:pt>
                <c:pt idx="2074">
                  <c:v>6.7225000000000001</c:v>
                </c:pt>
                <c:pt idx="2075">
                  <c:v>6.7210000000000001</c:v>
                </c:pt>
                <c:pt idx="2076">
                  <c:v>6.7225000000000001</c:v>
                </c:pt>
                <c:pt idx="2077">
                  <c:v>6.7210000000000001</c:v>
                </c:pt>
                <c:pt idx="2078">
                  <c:v>6.7255000000000003</c:v>
                </c:pt>
                <c:pt idx="2079">
                  <c:v>6.7276999999999996</c:v>
                </c:pt>
                <c:pt idx="2080">
                  <c:v>6.7285000000000004</c:v>
                </c:pt>
                <c:pt idx="2081">
                  <c:v>6.726</c:v>
                </c:pt>
                <c:pt idx="2082">
                  <c:v>6.73</c:v>
                </c:pt>
                <c:pt idx="2083">
                  <c:v>6.7344999999999997</c:v>
                </c:pt>
                <c:pt idx="2084">
                  <c:v>6.7370000000000001</c:v>
                </c:pt>
                <c:pt idx="2085">
                  <c:v>6.7304000000000004</c:v>
                </c:pt>
                <c:pt idx="2086">
                  <c:v>6.73</c:v>
                </c:pt>
                <c:pt idx="2087">
                  <c:v>6.7350000000000003</c:v>
                </c:pt>
                <c:pt idx="2088">
                  <c:v>6.7324999999999999</c:v>
                </c:pt>
                <c:pt idx="2089">
                  <c:v>6.74</c:v>
                </c:pt>
                <c:pt idx="2090">
                  <c:v>6.7450000000000001</c:v>
                </c:pt>
                <c:pt idx="2091">
                  <c:v>6.7450000000000001</c:v>
                </c:pt>
                <c:pt idx="2092">
                  <c:v>6.7506000000000004</c:v>
                </c:pt>
                <c:pt idx="2093">
                  <c:v>6.7525000000000004</c:v>
                </c:pt>
                <c:pt idx="2094">
                  <c:v>6.7569999999999997</c:v>
                </c:pt>
                <c:pt idx="2095">
                  <c:v>6.7556000000000003</c:v>
                </c:pt>
                <c:pt idx="2096">
                  <c:v>6.7603</c:v>
                </c:pt>
                <c:pt idx="2097">
                  <c:v>6.7649999999999997</c:v>
                </c:pt>
                <c:pt idx="2098">
                  <c:v>6.7649999999999997</c:v>
                </c:pt>
                <c:pt idx="2099">
                  <c:v>6.7725</c:v>
                </c:pt>
                <c:pt idx="2100">
                  <c:v>6.7949999999999999</c:v>
                </c:pt>
                <c:pt idx="2101">
                  <c:v>6.8075000000000001</c:v>
                </c:pt>
                <c:pt idx="2102">
                  <c:v>6.8198999999999996</c:v>
                </c:pt>
                <c:pt idx="2103">
                  <c:v>7.2350000000000003</c:v>
                </c:pt>
                <c:pt idx="2104">
                  <c:v>7.218</c:v>
                </c:pt>
                <c:pt idx="2105">
                  <c:v>7.2087000000000003</c:v>
                </c:pt>
                <c:pt idx="2106">
                  <c:v>7.2050000000000001</c:v>
                </c:pt>
                <c:pt idx="2107">
                  <c:v>7.2030000000000003</c:v>
                </c:pt>
                <c:pt idx="2108">
                  <c:v>7.202</c:v>
                </c:pt>
                <c:pt idx="2109">
                  <c:v>7.2074999999999996</c:v>
                </c:pt>
                <c:pt idx="2110">
                  <c:v>7.2187000000000001</c:v>
                </c:pt>
                <c:pt idx="2111">
                  <c:v>7.2107000000000001</c:v>
                </c:pt>
                <c:pt idx="2112">
                  <c:v>7.2069999999999999</c:v>
                </c:pt>
                <c:pt idx="2113">
                  <c:v>7.2149999999999999</c:v>
                </c:pt>
                <c:pt idx="2114">
                  <c:v>7.2225000000000001</c:v>
                </c:pt>
                <c:pt idx="2115">
                  <c:v>7.2249999999999996</c:v>
                </c:pt>
                <c:pt idx="2116">
                  <c:v>7.23</c:v>
                </c:pt>
                <c:pt idx="2117">
                  <c:v>7.2355</c:v>
                </c:pt>
                <c:pt idx="2118">
                  <c:v>7.2335000000000003</c:v>
                </c:pt>
                <c:pt idx="2119">
                  <c:v>7.242</c:v>
                </c:pt>
                <c:pt idx="2120">
                  <c:v>7.2465000000000002</c:v>
                </c:pt>
                <c:pt idx="2121">
                  <c:v>7.2626999999999997</c:v>
                </c:pt>
                <c:pt idx="2122">
                  <c:v>7.2670000000000003</c:v>
                </c:pt>
                <c:pt idx="2123">
                  <c:v>7.2714999999999996</c:v>
                </c:pt>
                <c:pt idx="2124">
                  <c:v>7.28</c:v>
                </c:pt>
                <c:pt idx="2125">
                  <c:v>7.2854999999999999</c:v>
                </c:pt>
                <c:pt idx="2126">
                  <c:v>7.3025000000000002</c:v>
                </c:pt>
                <c:pt idx="2127">
                  <c:v>7.3224999999999998</c:v>
                </c:pt>
                <c:pt idx="2128">
                  <c:v>7.33</c:v>
                </c:pt>
                <c:pt idx="2129">
                  <c:v>7.3375000000000004</c:v>
                </c:pt>
                <c:pt idx="2130">
                  <c:v>7.3550000000000004</c:v>
                </c:pt>
                <c:pt idx="2131">
                  <c:v>7.3775000000000004</c:v>
                </c:pt>
                <c:pt idx="2132">
                  <c:v>7.3913000000000002</c:v>
                </c:pt>
                <c:pt idx="2133">
                  <c:v>8.0124999999999993</c:v>
                </c:pt>
                <c:pt idx="2134">
                  <c:v>8.0180000000000007</c:v>
                </c:pt>
                <c:pt idx="2135">
                  <c:v>8.0254999999999992</c:v>
                </c:pt>
                <c:pt idx="2136">
                  <c:v>8.0244999999999997</c:v>
                </c:pt>
                <c:pt idx="2137">
                  <c:v>8.0303000000000004</c:v>
                </c:pt>
                <c:pt idx="2138">
                  <c:v>8.032</c:v>
                </c:pt>
                <c:pt idx="2139">
                  <c:v>8.0250000000000004</c:v>
                </c:pt>
                <c:pt idx="2140">
                  <c:v>8.0303000000000004</c:v>
                </c:pt>
                <c:pt idx="2141">
                  <c:v>8.032</c:v>
                </c:pt>
                <c:pt idx="2142">
                  <c:v>8.0299999999999994</c:v>
                </c:pt>
                <c:pt idx="2143">
                  <c:v>8.0314999999999994</c:v>
                </c:pt>
                <c:pt idx="2144">
                  <c:v>8.0374999999999996</c:v>
                </c:pt>
                <c:pt idx="2145">
                  <c:v>8.0299999999999994</c:v>
                </c:pt>
                <c:pt idx="2146">
                  <c:v>8.0365000000000002</c:v>
                </c:pt>
                <c:pt idx="2147">
                  <c:v>8.0350000000000001</c:v>
                </c:pt>
                <c:pt idx="2148">
                  <c:v>8.0244999999999997</c:v>
                </c:pt>
                <c:pt idx="2149">
                  <c:v>8.02</c:v>
                </c:pt>
                <c:pt idx="2150">
                  <c:v>8.0299999999999994</c:v>
                </c:pt>
                <c:pt idx="2151">
                  <c:v>8.0399999999999991</c:v>
                </c:pt>
                <c:pt idx="2152">
                  <c:v>8.0449999999999999</c:v>
                </c:pt>
                <c:pt idx="2153">
                  <c:v>8.0444999999999993</c:v>
                </c:pt>
                <c:pt idx="2154">
                  <c:v>8.0440000000000005</c:v>
                </c:pt>
                <c:pt idx="2155">
                  <c:v>8.0500000000000007</c:v>
                </c:pt>
                <c:pt idx="2156">
                  <c:v>8.06</c:v>
                </c:pt>
                <c:pt idx="2157">
                  <c:v>8.0749999999999993</c:v>
                </c:pt>
                <c:pt idx="2158">
                  <c:v>8.08</c:v>
                </c:pt>
                <c:pt idx="2159">
                  <c:v>8.0912000000000006</c:v>
                </c:pt>
                <c:pt idx="2160">
                  <c:v>8.1050000000000004</c:v>
                </c:pt>
                <c:pt idx="2161">
                  <c:v>8.1074000000000002</c:v>
                </c:pt>
                <c:pt idx="2162">
                  <c:v>8.1187000000000005</c:v>
                </c:pt>
                <c:pt idx="2163">
                  <c:v>8.1189999999999998</c:v>
                </c:pt>
                <c:pt idx="2164">
                  <c:v>8.1225000000000005</c:v>
                </c:pt>
                <c:pt idx="2165">
                  <c:v>8.1311999999999998</c:v>
                </c:pt>
                <c:pt idx="2166">
                  <c:v>8.1623999999999999</c:v>
                </c:pt>
                <c:pt idx="2167">
                  <c:v>8.1786999999999992</c:v>
                </c:pt>
                <c:pt idx="2168">
                  <c:v>8.7750000000000004</c:v>
                </c:pt>
                <c:pt idx="2169">
                  <c:v>8.7612000000000005</c:v>
                </c:pt>
                <c:pt idx="2170">
                  <c:v>8.7706</c:v>
                </c:pt>
                <c:pt idx="2171">
                  <c:v>8.7680000000000007</c:v>
                </c:pt>
                <c:pt idx="2172">
                  <c:v>8.7728000000000002</c:v>
                </c:pt>
                <c:pt idx="2173">
                  <c:v>8.7763000000000009</c:v>
                </c:pt>
                <c:pt idx="2174">
                  <c:v>8.7810000000000006</c:v>
                </c:pt>
                <c:pt idx="2175">
                  <c:v>8.7829999999999995</c:v>
                </c:pt>
                <c:pt idx="2176">
                  <c:v>8.8000000000000007</c:v>
                </c:pt>
                <c:pt idx="2177">
                  <c:v>8.8079999999999998</c:v>
                </c:pt>
                <c:pt idx="2178">
                  <c:v>8.8119999999999994</c:v>
                </c:pt>
                <c:pt idx="2179">
                  <c:v>8.8148</c:v>
                </c:pt>
                <c:pt idx="2180">
                  <c:v>8.8163</c:v>
                </c:pt>
                <c:pt idx="2181">
                  <c:v>8.8209999999999997</c:v>
                </c:pt>
                <c:pt idx="2182">
                  <c:v>8.8234999999999992</c:v>
                </c:pt>
                <c:pt idx="2183">
                  <c:v>8.82</c:v>
                </c:pt>
                <c:pt idx="2184">
                  <c:v>8.8177000000000003</c:v>
                </c:pt>
                <c:pt idx="2185">
                  <c:v>8.8195999999999994</c:v>
                </c:pt>
                <c:pt idx="2186">
                  <c:v>8.8350000000000009</c:v>
                </c:pt>
                <c:pt idx="2187">
                  <c:v>8.843</c:v>
                </c:pt>
                <c:pt idx="2188">
                  <c:v>8.8527000000000005</c:v>
                </c:pt>
                <c:pt idx="2189">
                  <c:v>8.8598999999999997</c:v>
                </c:pt>
                <c:pt idx="2190">
                  <c:v>8.8698999999999995</c:v>
                </c:pt>
                <c:pt idx="2191">
                  <c:v>8.8787000000000003</c:v>
                </c:pt>
                <c:pt idx="2192">
                  <c:v>8.8911999999999995</c:v>
                </c:pt>
                <c:pt idx="2193">
                  <c:v>8.9006000000000007</c:v>
                </c:pt>
                <c:pt idx="2194">
                  <c:v>8.9149999999999991</c:v>
                </c:pt>
                <c:pt idx="2195">
                  <c:v>8.9275000000000002</c:v>
                </c:pt>
                <c:pt idx="2196">
                  <c:v>8.9395000000000007</c:v>
                </c:pt>
                <c:pt idx="2197">
                  <c:v>8.9509000000000007</c:v>
                </c:pt>
                <c:pt idx="2198">
                  <c:v>8.9585000000000008</c:v>
                </c:pt>
                <c:pt idx="2199">
                  <c:v>8.9792000000000005</c:v>
                </c:pt>
                <c:pt idx="2200">
                  <c:v>8.9895999999999994</c:v>
                </c:pt>
                <c:pt idx="2201">
                  <c:v>9.02</c:v>
                </c:pt>
                <c:pt idx="2202">
                  <c:v>9.5350000000000001</c:v>
                </c:pt>
                <c:pt idx="2203">
                  <c:v>9.5366</c:v>
                </c:pt>
                <c:pt idx="2204">
                  <c:v>9.5452999999999992</c:v>
                </c:pt>
                <c:pt idx="2205">
                  <c:v>9.5515000000000008</c:v>
                </c:pt>
                <c:pt idx="2206">
                  <c:v>9.5450999999999997</c:v>
                </c:pt>
                <c:pt idx="2207">
                  <c:v>9.5465</c:v>
                </c:pt>
                <c:pt idx="2208">
                  <c:v>9.5449999999999999</c:v>
                </c:pt>
                <c:pt idx="2209">
                  <c:v>9.5515000000000008</c:v>
                </c:pt>
                <c:pt idx="2210">
                  <c:v>9.5594999999999999</c:v>
                </c:pt>
                <c:pt idx="2211">
                  <c:v>9.5634999999999994</c:v>
                </c:pt>
                <c:pt idx="2212">
                  <c:v>9.5655000000000001</c:v>
                </c:pt>
                <c:pt idx="2213">
                  <c:v>9.5664999999999996</c:v>
                </c:pt>
                <c:pt idx="2214">
                  <c:v>9.5670000000000002</c:v>
                </c:pt>
                <c:pt idx="2215">
                  <c:v>9.5663</c:v>
                </c:pt>
                <c:pt idx="2216">
                  <c:v>9.5670000000000002</c:v>
                </c:pt>
                <c:pt idx="2217">
                  <c:v>9.5675000000000008</c:v>
                </c:pt>
                <c:pt idx="2218">
                  <c:v>9.5749999999999993</c:v>
                </c:pt>
                <c:pt idx="2219">
                  <c:v>9.5839999999999996</c:v>
                </c:pt>
                <c:pt idx="2220">
                  <c:v>9.5909999999999993</c:v>
                </c:pt>
                <c:pt idx="2221">
                  <c:v>9.59</c:v>
                </c:pt>
                <c:pt idx="2222">
                  <c:v>9.5939999999999994</c:v>
                </c:pt>
                <c:pt idx="2223">
                  <c:v>9.5960000000000001</c:v>
                </c:pt>
                <c:pt idx="2224">
                  <c:v>9.5969999999999995</c:v>
                </c:pt>
                <c:pt idx="2225">
                  <c:v>9.6059999999999999</c:v>
                </c:pt>
                <c:pt idx="2226">
                  <c:v>9.6120000000000001</c:v>
                </c:pt>
                <c:pt idx="2227">
                  <c:v>9.6125000000000007</c:v>
                </c:pt>
                <c:pt idx="2228">
                  <c:v>9.6199999999999992</c:v>
                </c:pt>
                <c:pt idx="2229">
                  <c:v>9.6300000000000008</c:v>
                </c:pt>
                <c:pt idx="2230">
                  <c:v>9.65</c:v>
                </c:pt>
                <c:pt idx="2231">
                  <c:v>10.220000000000001</c:v>
                </c:pt>
                <c:pt idx="2232">
                  <c:v>10.234999999999999</c:v>
                </c:pt>
                <c:pt idx="2233">
                  <c:v>10.245699999999999</c:v>
                </c:pt>
                <c:pt idx="2234">
                  <c:v>10.24</c:v>
                </c:pt>
                <c:pt idx="2235">
                  <c:v>10.2395</c:v>
                </c:pt>
                <c:pt idx="2236">
                  <c:v>10.249499999999999</c:v>
                </c:pt>
                <c:pt idx="2237">
                  <c:v>10.248699999999999</c:v>
                </c:pt>
                <c:pt idx="2238">
                  <c:v>10.2599</c:v>
                </c:pt>
                <c:pt idx="2239">
                  <c:v>10.269399999999999</c:v>
                </c:pt>
                <c:pt idx="2240">
                  <c:v>10.274900000000001</c:v>
                </c:pt>
                <c:pt idx="2241">
                  <c:v>10.2857</c:v>
                </c:pt>
                <c:pt idx="2242">
                  <c:v>10.2875</c:v>
                </c:pt>
                <c:pt idx="2243">
                  <c:v>10.2935</c:v>
                </c:pt>
                <c:pt idx="2244">
                  <c:v>10.2987</c:v>
                </c:pt>
                <c:pt idx="2245">
                  <c:v>10.308999999999999</c:v>
                </c:pt>
                <c:pt idx="2246">
                  <c:v>10.3162</c:v>
                </c:pt>
                <c:pt idx="2247">
                  <c:v>10.3249</c:v>
                </c:pt>
                <c:pt idx="2248">
                  <c:v>10.3287</c:v>
                </c:pt>
                <c:pt idx="2249">
                  <c:v>10.334300000000001</c:v>
                </c:pt>
                <c:pt idx="2250">
                  <c:v>10.347099999999999</c:v>
                </c:pt>
                <c:pt idx="2251">
                  <c:v>10.3535</c:v>
                </c:pt>
                <c:pt idx="2252">
                  <c:v>10.3612</c:v>
                </c:pt>
                <c:pt idx="2253">
                  <c:v>10.373699999999999</c:v>
                </c:pt>
                <c:pt idx="2254">
                  <c:v>10.7125</c:v>
                </c:pt>
                <c:pt idx="2255">
                  <c:v>10.715</c:v>
                </c:pt>
                <c:pt idx="2256">
                  <c:v>10.722</c:v>
                </c:pt>
                <c:pt idx="2257">
                  <c:v>10.735900000000001</c:v>
                </c:pt>
                <c:pt idx="2258">
                  <c:v>10.737500000000001</c:v>
                </c:pt>
                <c:pt idx="2259">
                  <c:v>10.747199999999999</c:v>
                </c:pt>
                <c:pt idx="2260">
                  <c:v>10.744999999999999</c:v>
                </c:pt>
                <c:pt idx="2261">
                  <c:v>10.7545</c:v>
                </c:pt>
                <c:pt idx="2262">
                  <c:v>10.762</c:v>
                </c:pt>
                <c:pt idx="2263">
                  <c:v>10.7605</c:v>
                </c:pt>
                <c:pt idx="2264">
                  <c:v>10.77</c:v>
                </c:pt>
                <c:pt idx="2265">
                  <c:v>10.7775</c:v>
                </c:pt>
                <c:pt idx="2266">
                  <c:v>10.776999999999999</c:v>
                </c:pt>
                <c:pt idx="2267">
                  <c:v>10.766299999999999</c:v>
                </c:pt>
                <c:pt idx="2268">
                  <c:v>10.768000000000001</c:v>
                </c:pt>
                <c:pt idx="2269">
                  <c:v>10.769</c:v>
                </c:pt>
                <c:pt idx="2270">
                  <c:v>10.7745</c:v>
                </c:pt>
                <c:pt idx="2271">
                  <c:v>10.7675</c:v>
                </c:pt>
                <c:pt idx="2272">
                  <c:v>10.7675</c:v>
                </c:pt>
                <c:pt idx="2273">
                  <c:v>10.7675</c:v>
                </c:pt>
                <c:pt idx="2274">
                  <c:v>10.76</c:v>
                </c:pt>
                <c:pt idx="2275">
                  <c:v>10.775</c:v>
                </c:pt>
                <c:pt idx="2276">
                  <c:v>10.7775</c:v>
                </c:pt>
                <c:pt idx="2277">
                  <c:v>10.7872</c:v>
                </c:pt>
                <c:pt idx="2278">
                  <c:v>10.788500000000001</c:v>
                </c:pt>
                <c:pt idx="2279">
                  <c:v>10.789899999999999</c:v>
                </c:pt>
                <c:pt idx="2280">
                  <c:v>10.792400000000001</c:v>
                </c:pt>
                <c:pt idx="2281">
                  <c:v>10.791</c:v>
                </c:pt>
                <c:pt idx="2282">
                  <c:v>10.7965</c:v>
                </c:pt>
                <c:pt idx="2283">
                  <c:v>10.795500000000001</c:v>
                </c:pt>
                <c:pt idx="2284">
                  <c:v>10.805</c:v>
                </c:pt>
                <c:pt idx="2285">
                  <c:v>10.8162</c:v>
                </c:pt>
                <c:pt idx="2286">
                  <c:v>10.8125</c:v>
                </c:pt>
                <c:pt idx="2287">
                  <c:v>10.827400000000001</c:v>
                </c:pt>
                <c:pt idx="2288">
                  <c:v>10.833500000000001</c:v>
                </c:pt>
                <c:pt idx="2289">
                  <c:v>10.844900000000001</c:v>
                </c:pt>
                <c:pt idx="2290">
                  <c:v>10.8512</c:v>
                </c:pt>
                <c:pt idx="2291">
                  <c:v>10.8605</c:v>
                </c:pt>
                <c:pt idx="2292">
                  <c:v>10.88</c:v>
                </c:pt>
                <c:pt idx="2293">
                  <c:v>11.227499999999999</c:v>
                </c:pt>
                <c:pt idx="2294">
                  <c:v>11.2349</c:v>
                </c:pt>
                <c:pt idx="2295">
                  <c:v>11.237</c:v>
                </c:pt>
                <c:pt idx="2296">
                  <c:v>11.243</c:v>
                </c:pt>
                <c:pt idx="2297">
                  <c:v>11.241</c:v>
                </c:pt>
                <c:pt idx="2298">
                  <c:v>11.244999999999999</c:v>
                </c:pt>
                <c:pt idx="2299">
                  <c:v>11.2545</c:v>
                </c:pt>
                <c:pt idx="2300">
                  <c:v>11.264200000000001</c:v>
                </c:pt>
                <c:pt idx="2301">
                  <c:v>11.260400000000001</c:v>
                </c:pt>
                <c:pt idx="2302">
                  <c:v>11.27</c:v>
                </c:pt>
                <c:pt idx="2303">
                  <c:v>11.275</c:v>
                </c:pt>
                <c:pt idx="2304">
                  <c:v>11.265499999999999</c:v>
                </c:pt>
                <c:pt idx="2305">
                  <c:v>11.273999999999999</c:v>
                </c:pt>
                <c:pt idx="2306">
                  <c:v>11.2675</c:v>
                </c:pt>
                <c:pt idx="2307">
                  <c:v>11.2775</c:v>
                </c:pt>
                <c:pt idx="2308">
                  <c:v>11.282299999999999</c:v>
                </c:pt>
                <c:pt idx="2309">
                  <c:v>11.285</c:v>
                </c:pt>
                <c:pt idx="2310">
                  <c:v>11.295999999999999</c:v>
                </c:pt>
                <c:pt idx="2311">
                  <c:v>11.296200000000001</c:v>
                </c:pt>
                <c:pt idx="2312">
                  <c:v>11.308</c:v>
                </c:pt>
                <c:pt idx="2313">
                  <c:v>11.314</c:v>
                </c:pt>
                <c:pt idx="2314">
                  <c:v>11.3195</c:v>
                </c:pt>
                <c:pt idx="2315">
                  <c:v>11.3245</c:v>
                </c:pt>
                <c:pt idx="2316">
                  <c:v>11.337199999999999</c:v>
                </c:pt>
                <c:pt idx="2317">
                  <c:v>11.3474</c:v>
                </c:pt>
                <c:pt idx="2318">
                  <c:v>11.35</c:v>
                </c:pt>
                <c:pt idx="2319">
                  <c:v>11.355</c:v>
                </c:pt>
                <c:pt idx="2320">
                  <c:v>11.365</c:v>
                </c:pt>
                <c:pt idx="2321">
                  <c:v>11.3749</c:v>
                </c:pt>
                <c:pt idx="2322">
                  <c:v>11.3874</c:v>
                </c:pt>
                <c:pt idx="2323">
                  <c:v>11.3986</c:v>
                </c:pt>
                <c:pt idx="2324">
                  <c:v>11.403499999999999</c:v>
                </c:pt>
                <c:pt idx="2325">
                  <c:v>11.414899999999999</c:v>
                </c:pt>
                <c:pt idx="2326">
                  <c:v>11.4274</c:v>
                </c:pt>
                <c:pt idx="2327">
                  <c:v>11.52</c:v>
                </c:pt>
                <c:pt idx="2328">
                  <c:v>11.519500000000001</c:v>
                </c:pt>
                <c:pt idx="2329">
                  <c:v>11.5175</c:v>
                </c:pt>
                <c:pt idx="2330">
                  <c:v>11.5267</c:v>
                </c:pt>
                <c:pt idx="2331">
                  <c:v>11.5175</c:v>
                </c:pt>
                <c:pt idx="2332">
                  <c:v>11.5175</c:v>
                </c:pt>
                <c:pt idx="2333">
                  <c:v>11.525499999999999</c:v>
                </c:pt>
                <c:pt idx="2334">
                  <c:v>11.5345</c:v>
                </c:pt>
                <c:pt idx="2335">
                  <c:v>11.539</c:v>
                </c:pt>
                <c:pt idx="2336">
                  <c:v>11.535299999999999</c:v>
                </c:pt>
                <c:pt idx="2337">
                  <c:v>11.537000000000001</c:v>
                </c:pt>
                <c:pt idx="2338">
                  <c:v>11.5329</c:v>
                </c:pt>
                <c:pt idx="2339">
                  <c:v>11.529299999999999</c:v>
                </c:pt>
                <c:pt idx="2340">
                  <c:v>11.5253</c:v>
                </c:pt>
                <c:pt idx="2341">
                  <c:v>11.525</c:v>
                </c:pt>
                <c:pt idx="2342">
                  <c:v>11.5265</c:v>
                </c:pt>
                <c:pt idx="2343">
                  <c:v>11.5357</c:v>
                </c:pt>
                <c:pt idx="2344">
                  <c:v>11.544499999999999</c:v>
                </c:pt>
                <c:pt idx="2345">
                  <c:v>11.549899999999999</c:v>
                </c:pt>
                <c:pt idx="2346">
                  <c:v>11.548999999999999</c:v>
                </c:pt>
                <c:pt idx="2347">
                  <c:v>11.554</c:v>
                </c:pt>
                <c:pt idx="2348">
                  <c:v>11.5669</c:v>
                </c:pt>
                <c:pt idx="2349">
                  <c:v>11.5625</c:v>
                </c:pt>
                <c:pt idx="2350">
                  <c:v>11.561999999999999</c:v>
                </c:pt>
                <c:pt idx="2351">
                  <c:v>11.565200000000001</c:v>
                </c:pt>
                <c:pt idx="2352">
                  <c:v>11.553800000000001</c:v>
                </c:pt>
                <c:pt idx="2353">
                  <c:v>11.552300000000001</c:v>
                </c:pt>
                <c:pt idx="2354">
                  <c:v>11.549300000000001</c:v>
                </c:pt>
                <c:pt idx="2355">
                  <c:v>11.538399999999999</c:v>
                </c:pt>
                <c:pt idx="2356">
                  <c:v>11.5375</c:v>
                </c:pt>
                <c:pt idx="2357">
                  <c:v>11.525</c:v>
                </c:pt>
                <c:pt idx="2358">
                  <c:v>11.526</c:v>
                </c:pt>
                <c:pt idx="2359">
                  <c:v>11.5213</c:v>
                </c:pt>
                <c:pt idx="2360">
                  <c:v>11.515000000000001</c:v>
                </c:pt>
                <c:pt idx="2361">
                  <c:v>11.513500000000001</c:v>
                </c:pt>
                <c:pt idx="2362">
                  <c:v>11.51</c:v>
                </c:pt>
                <c:pt idx="2363">
                  <c:v>11.513500000000001</c:v>
                </c:pt>
                <c:pt idx="2364">
                  <c:v>11.5017</c:v>
                </c:pt>
                <c:pt idx="2365">
                  <c:v>11.509</c:v>
                </c:pt>
                <c:pt idx="2366">
                  <c:v>11.505699999999999</c:v>
                </c:pt>
                <c:pt idx="2367">
                  <c:v>11.496600000000001</c:v>
                </c:pt>
                <c:pt idx="2368">
                  <c:v>11.504</c:v>
                </c:pt>
                <c:pt idx="2369">
                  <c:v>11.503299999999999</c:v>
                </c:pt>
                <c:pt idx="2370">
                  <c:v>11.5</c:v>
                </c:pt>
                <c:pt idx="2371">
                  <c:v>11.497999999999999</c:v>
                </c:pt>
                <c:pt idx="2372">
                  <c:v>11.5015</c:v>
                </c:pt>
                <c:pt idx="2373">
                  <c:v>11.509</c:v>
                </c:pt>
                <c:pt idx="2374">
                  <c:v>11.512499999999999</c:v>
                </c:pt>
                <c:pt idx="2375">
                  <c:v>11.5075</c:v>
                </c:pt>
                <c:pt idx="2376">
                  <c:v>11.4975</c:v>
                </c:pt>
                <c:pt idx="2377">
                  <c:v>11.499499999999999</c:v>
                </c:pt>
                <c:pt idx="2378">
                  <c:v>11.497999999999999</c:v>
                </c:pt>
                <c:pt idx="2379">
                  <c:v>11.5032</c:v>
                </c:pt>
                <c:pt idx="2380">
                  <c:v>11.499499999999999</c:v>
                </c:pt>
                <c:pt idx="2381">
                  <c:v>11.5067</c:v>
                </c:pt>
                <c:pt idx="2382">
                  <c:v>11.5045</c:v>
                </c:pt>
                <c:pt idx="2383">
                  <c:v>11.5</c:v>
                </c:pt>
                <c:pt idx="2384">
                  <c:v>11.507999999999999</c:v>
                </c:pt>
                <c:pt idx="2385">
                  <c:v>11.500500000000001</c:v>
                </c:pt>
                <c:pt idx="2386">
                  <c:v>11.4855</c:v>
                </c:pt>
                <c:pt idx="2387">
                  <c:v>11.4962</c:v>
                </c:pt>
                <c:pt idx="2388">
                  <c:v>11.4925</c:v>
                </c:pt>
                <c:pt idx="2389">
                  <c:v>11.497999999999999</c:v>
                </c:pt>
                <c:pt idx="2390">
                  <c:v>11.503</c:v>
                </c:pt>
                <c:pt idx="2391">
                  <c:v>11.503</c:v>
                </c:pt>
                <c:pt idx="2392">
                  <c:v>11.507999999999999</c:v>
                </c:pt>
                <c:pt idx="2393">
                  <c:v>11.5105</c:v>
                </c:pt>
                <c:pt idx="2394">
                  <c:v>11.5002</c:v>
                </c:pt>
                <c:pt idx="2395">
                  <c:v>11.490399999999999</c:v>
                </c:pt>
                <c:pt idx="2396">
                  <c:v>11.494999999999999</c:v>
                </c:pt>
                <c:pt idx="2397">
                  <c:v>11.4925</c:v>
                </c:pt>
                <c:pt idx="2398">
                  <c:v>11.49</c:v>
                </c:pt>
                <c:pt idx="2399">
                  <c:v>11.486499999999999</c:v>
                </c:pt>
                <c:pt idx="2400">
                  <c:v>11.49</c:v>
                </c:pt>
                <c:pt idx="2401">
                  <c:v>11.4915</c:v>
                </c:pt>
                <c:pt idx="2402">
                  <c:v>11.5</c:v>
                </c:pt>
                <c:pt idx="2403">
                  <c:v>11.505000000000001</c:v>
                </c:pt>
                <c:pt idx="2404">
                  <c:v>11.5037</c:v>
                </c:pt>
                <c:pt idx="2405">
                  <c:v>11.5084</c:v>
                </c:pt>
                <c:pt idx="2406">
                  <c:v>11.5054</c:v>
                </c:pt>
                <c:pt idx="2407">
                  <c:v>11.509499999999999</c:v>
                </c:pt>
                <c:pt idx="2408">
                  <c:v>11.513999999999999</c:v>
                </c:pt>
                <c:pt idx="2409">
                  <c:v>11.513500000000001</c:v>
                </c:pt>
                <c:pt idx="2410">
                  <c:v>11.507999999999999</c:v>
                </c:pt>
                <c:pt idx="2411">
                  <c:v>11.5105</c:v>
                </c:pt>
                <c:pt idx="2412">
                  <c:v>11.5053</c:v>
                </c:pt>
                <c:pt idx="2413">
                  <c:v>11.505000000000001</c:v>
                </c:pt>
                <c:pt idx="2414">
                  <c:v>11.5025</c:v>
                </c:pt>
                <c:pt idx="2415">
                  <c:v>11.5</c:v>
                </c:pt>
                <c:pt idx="2416">
                  <c:v>11.494</c:v>
                </c:pt>
                <c:pt idx="2417">
                  <c:v>11.500500000000001</c:v>
                </c:pt>
                <c:pt idx="2418">
                  <c:v>11.494</c:v>
                </c:pt>
                <c:pt idx="2419">
                  <c:v>11.4975</c:v>
                </c:pt>
                <c:pt idx="2420">
                  <c:v>11.484999999999999</c:v>
                </c:pt>
                <c:pt idx="2421">
                  <c:v>11.484999999999999</c:v>
                </c:pt>
                <c:pt idx="2422">
                  <c:v>11.5</c:v>
                </c:pt>
                <c:pt idx="2423">
                  <c:v>11.4925</c:v>
                </c:pt>
                <c:pt idx="2424">
                  <c:v>11.4925</c:v>
                </c:pt>
                <c:pt idx="2425">
                  <c:v>11.4975</c:v>
                </c:pt>
                <c:pt idx="2426">
                  <c:v>11.505000000000001</c:v>
                </c:pt>
                <c:pt idx="2427">
                  <c:v>11.4975</c:v>
                </c:pt>
                <c:pt idx="2428">
                  <c:v>11.494</c:v>
                </c:pt>
                <c:pt idx="2429">
                  <c:v>11.5062</c:v>
                </c:pt>
                <c:pt idx="2430">
                  <c:v>11.5055</c:v>
                </c:pt>
                <c:pt idx="2431">
                  <c:v>11.507899999999999</c:v>
                </c:pt>
                <c:pt idx="2432">
                  <c:v>11.509</c:v>
                </c:pt>
                <c:pt idx="2433">
                  <c:v>11.507</c:v>
                </c:pt>
                <c:pt idx="2434">
                  <c:v>11.506</c:v>
                </c:pt>
                <c:pt idx="2435">
                  <c:v>11.501899999999999</c:v>
                </c:pt>
                <c:pt idx="2436">
                  <c:v>11.497199999999999</c:v>
                </c:pt>
                <c:pt idx="2437">
                  <c:v>11.500999999999999</c:v>
                </c:pt>
                <c:pt idx="2438">
                  <c:v>11.5</c:v>
                </c:pt>
                <c:pt idx="2439">
                  <c:v>11.501200000000001</c:v>
                </c:pt>
                <c:pt idx="2440">
                  <c:v>11.5055</c:v>
                </c:pt>
                <c:pt idx="2441">
                  <c:v>11.500400000000001</c:v>
                </c:pt>
                <c:pt idx="2442">
                  <c:v>11.505000000000001</c:v>
                </c:pt>
                <c:pt idx="2443">
                  <c:v>11.5075</c:v>
                </c:pt>
                <c:pt idx="2444">
                  <c:v>11.506</c:v>
                </c:pt>
                <c:pt idx="2445">
                  <c:v>11.5055</c:v>
                </c:pt>
                <c:pt idx="2446">
                  <c:v>11.5075</c:v>
                </c:pt>
                <c:pt idx="2447">
                  <c:v>11.5037</c:v>
                </c:pt>
                <c:pt idx="2448">
                  <c:v>11.506500000000001</c:v>
                </c:pt>
                <c:pt idx="2449">
                  <c:v>11.5055</c:v>
                </c:pt>
                <c:pt idx="2450">
                  <c:v>11.499000000000001</c:v>
                </c:pt>
                <c:pt idx="2451">
                  <c:v>11.499499999999999</c:v>
                </c:pt>
                <c:pt idx="2452">
                  <c:v>11.504099999999999</c:v>
                </c:pt>
                <c:pt idx="2453">
                  <c:v>11.4983</c:v>
                </c:pt>
                <c:pt idx="2454">
                  <c:v>11.502800000000001</c:v>
                </c:pt>
                <c:pt idx="2455">
                  <c:v>11.5</c:v>
                </c:pt>
                <c:pt idx="2456">
                  <c:v>11.4985</c:v>
                </c:pt>
                <c:pt idx="2457">
                  <c:v>11.4983</c:v>
                </c:pt>
                <c:pt idx="2458">
                  <c:v>11.4979</c:v>
                </c:pt>
                <c:pt idx="2459">
                  <c:v>11.4977</c:v>
                </c:pt>
                <c:pt idx="2460">
                  <c:v>11.5</c:v>
                </c:pt>
                <c:pt idx="2461">
                  <c:v>11.500999999999999</c:v>
                </c:pt>
                <c:pt idx="2462">
                  <c:v>11.502000000000001</c:v>
                </c:pt>
                <c:pt idx="2463">
                  <c:v>11.5022</c:v>
                </c:pt>
                <c:pt idx="2464">
                  <c:v>11.5045</c:v>
                </c:pt>
                <c:pt idx="2465">
                  <c:v>11.506</c:v>
                </c:pt>
                <c:pt idx="2466">
                  <c:v>11.506500000000001</c:v>
                </c:pt>
                <c:pt idx="2467">
                  <c:v>11.507</c:v>
                </c:pt>
                <c:pt idx="2468">
                  <c:v>11.507</c:v>
                </c:pt>
                <c:pt idx="2469">
                  <c:v>11.507</c:v>
                </c:pt>
                <c:pt idx="2470">
                  <c:v>11.507</c:v>
                </c:pt>
                <c:pt idx="2471">
                  <c:v>11.507</c:v>
                </c:pt>
                <c:pt idx="2472">
                  <c:v>11.5047</c:v>
                </c:pt>
                <c:pt idx="2473">
                  <c:v>11.506</c:v>
                </c:pt>
                <c:pt idx="2474">
                  <c:v>11.506500000000001</c:v>
                </c:pt>
                <c:pt idx="2475">
                  <c:v>11.5045</c:v>
                </c:pt>
                <c:pt idx="2476">
                  <c:v>11.503500000000001</c:v>
                </c:pt>
                <c:pt idx="2477">
                  <c:v>11.5055</c:v>
                </c:pt>
                <c:pt idx="2478">
                  <c:v>11.506500000000001</c:v>
                </c:pt>
                <c:pt idx="2479">
                  <c:v>11.507</c:v>
                </c:pt>
                <c:pt idx="2480">
                  <c:v>11.507</c:v>
                </c:pt>
                <c:pt idx="2481">
                  <c:v>11.507</c:v>
                </c:pt>
                <c:pt idx="2482">
                  <c:v>11.507</c:v>
                </c:pt>
                <c:pt idx="2483">
                  <c:v>11.507</c:v>
                </c:pt>
                <c:pt idx="2484">
                  <c:v>11.506399999999999</c:v>
                </c:pt>
                <c:pt idx="2485">
                  <c:v>11.5055</c:v>
                </c:pt>
                <c:pt idx="2486">
                  <c:v>11.505100000000001</c:v>
                </c:pt>
                <c:pt idx="2487">
                  <c:v>11.505000000000001</c:v>
                </c:pt>
                <c:pt idx="2488">
                  <c:v>11.5037</c:v>
                </c:pt>
                <c:pt idx="2489">
                  <c:v>11.504</c:v>
                </c:pt>
                <c:pt idx="2490">
                  <c:v>11.504</c:v>
                </c:pt>
                <c:pt idx="2491">
                  <c:v>11.504</c:v>
                </c:pt>
                <c:pt idx="2492">
                  <c:v>11.504</c:v>
                </c:pt>
                <c:pt idx="2493">
                  <c:v>11.5032</c:v>
                </c:pt>
                <c:pt idx="2494">
                  <c:v>11.504</c:v>
                </c:pt>
                <c:pt idx="2495">
                  <c:v>11.504099999999999</c:v>
                </c:pt>
                <c:pt idx="2496">
                  <c:v>11.503299999999999</c:v>
                </c:pt>
                <c:pt idx="2497">
                  <c:v>11.504</c:v>
                </c:pt>
                <c:pt idx="2498">
                  <c:v>11.505100000000001</c:v>
                </c:pt>
                <c:pt idx="2499">
                  <c:v>11.5038</c:v>
                </c:pt>
                <c:pt idx="2500">
                  <c:v>11.504</c:v>
                </c:pt>
                <c:pt idx="2501">
                  <c:v>11.504</c:v>
                </c:pt>
                <c:pt idx="2502">
                  <c:v>11.506</c:v>
                </c:pt>
                <c:pt idx="2503">
                  <c:v>11.5075</c:v>
                </c:pt>
                <c:pt idx="2504">
                  <c:v>11.506</c:v>
                </c:pt>
                <c:pt idx="2505">
                  <c:v>11.504300000000001</c:v>
                </c:pt>
                <c:pt idx="2506">
                  <c:v>11.504</c:v>
                </c:pt>
                <c:pt idx="2507">
                  <c:v>11.504</c:v>
                </c:pt>
                <c:pt idx="2508">
                  <c:v>11.5025</c:v>
                </c:pt>
                <c:pt idx="2509">
                  <c:v>11.5025</c:v>
                </c:pt>
                <c:pt idx="2510">
                  <c:v>11.5025</c:v>
                </c:pt>
                <c:pt idx="2511">
                  <c:v>11.5037</c:v>
                </c:pt>
                <c:pt idx="2512">
                  <c:v>11.505000000000001</c:v>
                </c:pt>
                <c:pt idx="2513">
                  <c:v>11.504</c:v>
                </c:pt>
                <c:pt idx="2514">
                  <c:v>11.503500000000001</c:v>
                </c:pt>
                <c:pt idx="2515">
                  <c:v>11.5025</c:v>
                </c:pt>
                <c:pt idx="2516">
                  <c:v>11.5022</c:v>
                </c:pt>
                <c:pt idx="2517">
                  <c:v>11.5025</c:v>
                </c:pt>
                <c:pt idx="2518">
                  <c:v>11.5025</c:v>
                </c:pt>
                <c:pt idx="2519">
                  <c:v>11.5025</c:v>
                </c:pt>
                <c:pt idx="2520">
                  <c:v>11.5025</c:v>
                </c:pt>
                <c:pt idx="2521">
                  <c:v>11.5025</c:v>
                </c:pt>
                <c:pt idx="2522">
                  <c:v>11.5025</c:v>
                </c:pt>
                <c:pt idx="2523">
                  <c:v>11.5025</c:v>
                </c:pt>
                <c:pt idx="2524">
                  <c:v>11.4975</c:v>
                </c:pt>
                <c:pt idx="2525">
                  <c:v>11.5002</c:v>
                </c:pt>
                <c:pt idx="2526">
                  <c:v>11.498799999999999</c:v>
                </c:pt>
                <c:pt idx="2527">
                  <c:v>11.5006</c:v>
                </c:pt>
                <c:pt idx="2528">
                  <c:v>11.500999999999999</c:v>
                </c:pt>
                <c:pt idx="2529">
                  <c:v>11.5017</c:v>
                </c:pt>
                <c:pt idx="2530">
                  <c:v>11.4985</c:v>
                </c:pt>
                <c:pt idx="2531">
                  <c:v>11.5002</c:v>
                </c:pt>
                <c:pt idx="2532">
                  <c:v>11.5015</c:v>
                </c:pt>
                <c:pt idx="2533">
                  <c:v>11.499499999999999</c:v>
                </c:pt>
                <c:pt idx="2534">
                  <c:v>11.4985</c:v>
                </c:pt>
                <c:pt idx="2535">
                  <c:v>11.499000000000001</c:v>
                </c:pt>
                <c:pt idx="2536">
                  <c:v>11.5</c:v>
                </c:pt>
                <c:pt idx="2537">
                  <c:v>11.501200000000001</c:v>
                </c:pt>
                <c:pt idx="2538">
                  <c:v>11.4993</c:v>
                </c:pt>
                <c:pt idx="2539">
                  <c:v>11.4984</c:v>
                </c:pt>
                <c:pt idx="2540">
                  <c:v>11.497999999999999</c:v>
                </c:pt>
                <c:pt idx="2541">
                  <c:v>11.499000000000001</c:v>
                </c:pt>
                <c:pt idx="2542">
                  <c:v>11.498200000000001</c:v>
                </c:pt>
                <c:pt idx="2543">
                  <c:v>11.499499999999999</c:v>
                </c:pt>
                <c:pt idx="2544">
                  <c:v>11.5007</c:v>
                </c:pt>
                <c:pt idx="2545">
                  <c:v>11.496600000000001</c:v>
                </c:pt>
                <c:pt idx="2546">
                  <c:v>11.4983</c:v>
                </c:pt>
                <c:pt idx="2547">
                  <c:v>11.4954</c:v>
                </c:pt>
                <c:pt idx="2548">
                  <c:v>11.494999999999999</c:v>
                </c:pt>
                <c:pt idx="2549">
                  <c:v>11.494999999999999</c:v>
                </c:pt>
                <c:pt idx="2550">
                  <c:v>11.4925</c:v>
                </c:pt>
                <c:pt idx="2551">
                  <c:v>11.4962</c:v>
                </c:pt>
                <c:pt idx="2552">
                  <c:v>11.4925</c:v>
                </c:pt>
                <c:pt idx="2553">
                  <c:v>11.4925</c:v>
                </c:pt>
                <c:pt idx="2554">
                  <c:v>11.489100000000001</c:v>
                </c:pt>
                <c:pt idx="2555">
                  <c:v>11.49</c:v>
                </c:pt>
                <c:pt idx="2556">
                  <c:v>11.487500000000001</c:v>
                </c:pt>
                <c:pt idx="2557">
                  <c:v>11.4937</c:v>
                </c:pt>
                <c:pt idx="2558">
                  <c:v>11.484999999999999</c:v>
                </c:pt>
                <c:pt idx="2559">
                  <c:v>11.477499999999999</c:v>
                </c:pt>
                <c:pt idx="2560">
                  <c:v>11.484999999999999</c:v>
                </c:pt>
                <c:pt idx="2561">
                  <c:v>11.484999999999999</c:v>
                </c:pt>
                <c:pt idx="2562">
                  <c:v>11.485900000000001</c:v>
                </c:pt>
                <c:pt idx="2563">
                  <c:v>11.4825</c:v>
                </c:pt>
                <c:pt idx="2564">
                  <c:v>11.4724</c:v>
                </c:pt>
                <c:pt idx="2565">
                  <c:v>11.4748</c:v>
                </c:pt>
                <c:pt idx="2566">
                  <c:v>11.47</c:v>
                </c:pt>
                <c:pt idx="2567">
                  <c:v>11.475</c:v>
                </c:pt>
                <c:pt idx="2568">
                  <c:v>11.477499999999999</c:v>
                </c:pt>
                <c:pt idx="2569">
                  <c:v>11.477499999999999</c:v>
                </c:pt>
                <c:pt idx="2570">
                  <c:v>11.48</c:v>
                </c:pt>
                <c:pt idx="2571">
                  <c:v>11.479900000000001</c:v>
                </c:pt>
                <c:pt idx="2572">
                  <c:v>11.244999999999999</c:v>
                </c:pt>
                <c:pt idx="2573">
                  <c:v>11.247</c:v>
                </c:pt>
                <c:pt idx="2574">
                  <c:v>11.2475</c:v>
                </c:pt>
                <c:pt idx="2575">
                  <c:v>11.2485</c:v>
                </c:pt>
                <c:pt idx="2576">
                  <c:v>11.249000000000001</c:v>
                </c:pt>
                <c:pt idx="2577">
                  <c:v>11.2475</c:v>
                </c:pt>
                <c:pt idx="2578">
                  <c:v>11.2475</c:v>
                </c:pt>
                <c:pt idx="2579">
                  <c:v>11.2485</c:v>
                </c:pt>
                <c:pt idx="2580">
                  <c:v>11.2485</c:v>
                </c:pt>
                <c:pt idx="2581">
                  <c:v>11.249000000000001</c:v>
                </c:pt>
                <c:pt idx="2582">
                  <c:v>11.2492</c:v>
                </c:pt>
                <c:pt idx="2583">
                  <c:v>11.249000000000001</c:v>
                </c:pt>
                <c:pt idx="2584">
                  <c:v>11.2502</c:v>
                </c:pt>
                <c:pt idx="2585">
                  <c:v>11.248799999999999</c:v>
                </c:pt>
                <c:pt idx="2586">
                  <c:v>11.2407</c:v>
                </c:pt>
                <c:pt idx="2587">
                  <c:v>11.2445</c:v>
                </c:pt>
                <c:pt idx="2588">
                  <c:v>11.244999999999999</c:v>
                </c:pt>
                <c:pt idx="2589">
                  <c:v>11.246499999999999</c:v>
                </c:pt>
                <c:pt idx="2590">
                  <c:v>11.244999999999999</c:v>
                </c:pt>
                <c:pt idx="2591">
                  <c:v>11.244999999999999</c:v>
                </c:pt>
                <c:pt idx="2592">
                  <c:v>11.244999999999999</c:v>
                </c:pt>
                <c:pt idx="2593">
                  <c:v>11.244999999999999</c:v>
                </c:pt>
                <c:pt idx="2594">
                  <c:v>11.244999999999999</c:v>
                </c:pt>
                <c:pt idx="2595">
                  <c:v>11.244999999999999</c:v>
                </c:pt>
                <c:pt idx="2596">
                  <c:v>11.244999999999999</c:v>
                </c:pt>
                <c:pt idx="2597">
                  <c:v>11.24</c:v>
                </c:pt>
                <c:pt idx="2598">
                  <c:v>11.24</c:v>
                </c:pt>
                <c:pt idx="2599">
                  <c:v>11.236599999999999</c:v>
                </c:pt>
                <c:pt idx="2600">
                  <c:v>11.24</c:v>
                </c:pt>
                <c:pt idx="2601">
                  <c:v>11.24</c:v>
                </c:pt>
                <c:pt idx="2602">
                  <c:v>11.24</c:v>
                </c:pt>
                <c:pt idx="2603">
                  <c:v>11.24</c:v>
                </c:pt>
                <c:pt idx="2604">
                  <c:v>11.24</c:v>
                </c:pt>
                <c:pt idx="2605">
                  <c:v>11.24</c:v>
                </c:pt>
                <c:pt idx="2606">
                  <c:v>11.24</c:v>
                </c:pt>
                <c:pt idx="2607">
                  <c:v>11.2399</c:v>
                </c:pt>
                <c:pt idx="2608">
                  <c:v>11.234999999999999</c:v>
                </c:pt>
                <c:pt idx="2609">
                  <c:v>11.2399</c:v>
                </c:pt>
                <c:pt idx="2610">
                  <c:v>11.234999999999999</c:v>
                </c:pt>
                <c:pt idx="2611">
                  <c:v>11.234999999999999</c:v>
                </c:pt>
                <c:pt idx="2612">
                  <c:v>11.234999999999999</c:v>
                </c:pt>
                <c:pt idx="2613">
                  <c:v>11.2415</c:v>
                </c:pt>
                <c:pt idx="2614">
                  <c:v>11.234999999999999</c:v>
                </c:pt>
                <c:pt idx="2615">
                  <c:v>11.2425</c:v>
                </c:pt>
                <c:pt idx="2616">
                  <c:v>11.244999999999999</c:v>
                </c:pt>
                <c:pt idx="2617">
                  <c:v>11.246499999999999</c:v>
                </c:pt>
                <c:pt idx="2618">
                  <c:v>11.244999999999999</c:v>
                </c:pt>
                <c:pt idx="2619">
                  <c:v>11.246499999999999</c:v>
                </c:pt>
                <c:pt idx="2620">
                  <c:v>11.244999999999999</c:v>
                </c:pt>
                <c:pt idx="2621">
                  <c:v>11.244999999999999</c:v>
                </c:pt>
                <c:pt idx="2622">
                  <c:v>11.244999999999999</c:v>
                </c:pt>
                <c:pt idx="2623">
                  <c:v>11.244999999999999</c:v>
                </c:pt>
                <c:pt idx="2624">
                  <c:v>11.247</c:v>
                </c:pt>
                <c:pt idx="2625">
                  <c:v>11.244999999999999</c:v>
                </c:pt>
                <c:pt idx="2626">
                  <c:v>11.244999999999999</c:v>
                </c:pt>
                <c:pt idx="2627">
                  <c:v>11.244999999999999</c:v>
                </c:pt>
                <c:pt idx="2628">
                  <c:v>11.244999999999999</c:v>
                </c:pt>
                <c:pt idx="2629">
                  <c:v>11.2475</c:v>
                </c:pt>
                <c:pt idx="2630">
                  <c:v>11.244999999999999</c:v>
                </c:pt>
                <c:pt idx="2631">
                  <c:v>11.243</c:v>
                </c:pt>
                <c:pt idx="2632">
                  <c:v>11.244999999999999</c:v>
                </c:pt>
                <c:pt idx="2633">
                  <c:v>11.244999999999999</c:v>
                </c:pt>
                <c:pt idx="2634">
                  <c:v>11.244999999999999</c:v>
                </c:pt>
                <c:pt idx="2635">
                  <c:v>11.244999999999999</c:v>
                </c:pt>
                <c:pt idx="2636">
                  <c:v>11.244999999999999</c:v>
                </c:pt>
                <c:pt idx="2637">
                  <c:v>11.244899999999999</c:v>
                </c:pt>
                <c:pt idx="2638">
                  <c:v>11.24</c:v>
                </c:pt>
                <c:pt idx="2639">
                  <c:v>11.2445</c:v>
                </c:pt>
                <c:pt idx="2640">
                  <c:v>11.247199999999999</c:v>
                </c:pt>
                <c:pt idx="2641">
                  <c:v>11.244999999999999</c:v>
                </c:pt>
                <c:pt idx="2642">
                  <c:v>11.244999999999999</c:v>
                </c:pt>
                <c:pt idx="2643">
                  <c:v>11.244999999999999</c:v>
                </c:pt>
                <c:pt idx="2644">
                  <c:v>11.246499999999999</c:v>
                </c:pt>
                <c:pt idx="2645">
                  <c:v>11.2475</c:v>
                </c:pt>
                <c:pt idx="2646">
                  <c:v>11.244999999999999</c:v>
                </c:pt>
                <c:pt idx="2647">
                  <c:v>11.246499999999999</c:v>
                </c:pt>
                <c:pt idx="2648">
                  <c:v>11.244999999999999</c:v>
                </c:pt>
                <c:pt idx="2649">
                  <c:v>11.247</c:v>
                </c:pt>
                <c:pt idx="2650">
                  <c:v>11.244999999999999</c:v>
                </c:pt>
                <c:pt idx="2651">
                  <c:v>11.244999999999999</c:v>
                </c:pt>
                <c:pt idx="2652">
                  <c:v>11.244999999999999</c:v>
                </c:pt>
                <c:pt idx="2653">
                  <c:v>11.244899999999999</c:v>
                </c:pt>
                <c:pt idx="2654">
                  <c:v>11.244999999999999</c:v>
                </c:pt>
                <c:pt idx="2655">
                  <c:v>11.244999999999999</c:v>
                </c:pt>
                <c:pt idx="2656">
                  <c:v>11.246499999999999</c:v>
                </c:pt>
                <c:pt idx="2657">
                  <c:v>11.2475</c:v>
                </c:pt>
                <c:pt idx="2658">
                  <c:v>11.244999999999999</c:v>
                </c:pt>
                <c:pt idx="2659">
                  <c:v>11.244999999999999</c:v>
                </c:pt>
                <c:pt idx="2660">
                  <c:v>11.244899999999999</c:v>
                </c:pt>
                <c:pt idx="2661">
                  <c:v>11.244999999999999</c:v>
                </c:pt>
                <c:pt idx="2662">
                  <c:v>11.244999999999999</c:v>
                </c:pt>
                <c:pt idx="2663">
                  <c:v>11.2475</c:v>
                </c:pt>
                <c:pt idx="2664">
                  <c:v>11.244999999999999</c:v>
                </c:pt>
                <c:pt idx="2665">
                  <c:v>11.244999999999999</c:v>
                </c:pt>
                <c:pt idx="2666">
                  <c:v>11.2325</c:v>
                </c:pt>
                <c:pt idx="2667">
                  <c:v>11.247999999999999</c:v>
                </c:pt>
                <c:pt idx="2668">
                  <c:v>11.2475</c:v>
                </c:pt>
                <c:pt idx="2669">
                  <c:v>11.025</c:v>
                </c:pt>
                <c:pt idx="2670">
                  <c:v>11.0025</c:v>
                </c:pt>
                <c:pt idx="2671">
                  <c:v>11.001200000000001</c:v>
                </c:pt>
                <c:pt idx="2672">
                  <c:v>11.002800000000001</c:v>
                </c:pt>
                <c:pt idx="2673">
                  <c:v>11.0032</c:v>
                </c:pt>
                <c:pt idx="2674">
                  <c:v>11.0016</c:v>
                </c:pt>
                <c:pt idx="2675">
                  <c:v>11.006399999999999</c:v>
                </c:pt>
                <c:pt idx="2676">
                  <c:v>11.0077</c:v>
                </c:pt>
                <c:pt idx="2677">
                  <c:v>11.0038</c:v>
                </c:pt>
                <c:pt idx="2678">
                  <c:v>11.002800000000001</c:v>
                </c:pt>
                <c:pt idx="2679">
                  <c:v>11.0014</c:v>
                </c:pt>
                <c:pt idx="2680">
                  <c:v>11.0007</c:v>
                </c:pt>
                <c:pt idx="2681">
                  <c:v>10.9994</c:v>
                </c:pt>
                <c:pt idx="2682">
                  <c:v>10.9985</c:v>
                </c:pt>
                <c:pt idx="2683">
                  <c:v>10.997999999999999</c:v>
                </c:pt>
                <c:pt idx="2684">
                  <c:v>10.9977</c:v>
                </c:pt>
                <c:pt idx="2685">
                  <c:v>10.9976</c:v>
                </c:pt>
                <c:pt idx="2686">
                  <c:v>10.984999999999999</c:v>
                </c:pt>
                <c:pt idx="2687">
                  <c:v>10.98</c:v>
                </c:pt>
                <c:pt idx="2688">
                  <c:v>10.975</c:v>
                </c:pt>
                <c:pt idx="2689">
                  <c:v>10.9725</c:v>
                </c:pt>
                <c:pt idx="2690">
                  <c:v>10.963800000000001</c:v>
                </c:pt>
                <c:pt idx="2691">
                  <c:v>10.967499999999999</c:v>
                </c:pt>
                <c:pt idx="2692">
                  <c:v>10.965</c:v>
                </c:pt>
                <c:pt idx="2693">
                  <c:v>10.965</c:v>
                </c:pt>
                <c:pt idx="2694">
                  <c:v>10.9725</c:v>
                </c:pt>
                <c:pt idx="2695">
                  <c:v>10.960599999999999</c:v>
                </c:pt>
                <c:pt idx="2696">
                  <c:v>10.952500000000001</c:v>
                </c:pt>
                <c:pt idx="2697">
                  <c:v>10.945</c:v>
                </c:pt>
                <c:pt idx="2698">
                  <c:v>10.95</c:v>
                </c:pt>
                <c:pt idx="2699">
                  <c:v>10.936400000000001</c:v>
                </c:pt>
                <c:pt idx="2700">
                  <c:v>10.935</c:v>
                </c:pt>
                <c:pt idx="2701">
                  <c:v>10.9199</c:v>
                </c:pt>
                <c:pt idx="2702">
                  <c:v>10.92</c:v>
                </c:pt>
                <c:pt idx="2703">
                  <c:v>10.74</c:v>
                </c:pt>
                <c:pt idx="2704">
                  <c:v>10.74</c:v>
                </c:pt>
                <c:pt idx="2705">
                  <c:v>10.7399</c:v>
                </c:pt>
                <c:pt idx="2706">
                  <c:v>10.7437</c:v>
                </c:pt>
                <c:pt idx="2707">
                  <c:v>10.7399</c:v>
                </c:pt>
                <c:pt idx="2708">
                  <c:v>10.7399</c:v>
                </c:pt>
                <c:pt idx="2709">
                  <c:v>10.7437</c:v>
                </c:pt>
                <c:pt idx="2710">
                  <c:v>10.74</c:v>
                </c:pt>
                <c:pt idx="2711">
                  <c:v>10.7399</c:v>
                </c:pt>
                <c:pt idx="2712">
                  <c:v>10.743499999999999</c:v>
                </c:pt>
                <c:pt idx="2713">
                  <c:v>10.74</c:v>
                </c:pt>
                <c:pt idx="2714">
                  <c:v>10.743399999999999</c:v>
                </c:pt>
                <c:pt idx="2715">
                  <c:v>10.7399</c:v>
                </c:pt>
                <c:pt idx="2716">
                  <c:v>10.74</c:v>
                </c:pt>
                <c:pt idx="2717">
                  <c:v>10.74</c:v>
                </c:pt>
                <c:pt idx="2718">
                  <c:v>10.734999999999999</c:v>
                </c:pt>
                <c:pt idx="2719">
                  <c:v>10.74</c:v>
                </c:pt>
                <c:pt idx="2720">
                  <c:v>10.725199999999999</c:v>
                </c:pt>
                <c:pt idx="2721">
                  <c:v>10.73</c:v>
                </c:pt>
                <c:pt idx="2722">
                  <c:v>10.7157</c:v>
                </c:pt>
                <c:pt idx="2723">
                  <c:v>10.72</c:v>
                </c:pt>
                <c:pt idx="2724">
                  <c:v>10.721</c:v>
                </c:pt>
                <c:pt idx="2725">
                  <c:v>10.720499999999999</c:v>
                </c:pt>
                <c:pt idx="2726">
                  <c:v>10.707800000000001</c:v>
                </c:pt>
                <c:pt idx="2727">
                  <c:v>10.72</c:v>
                </c:pt>
                <c:pt idx="2728">
                  <c:v>10.72</c:v>
                </c:pt>
                <c:pt idx="2729">
                  <c:v>10.7058</c:v>
                </c:pt>
                <c:pt idx="2730">
                  <c:v>10.7</c:v>
                </c:pt>
                <c:pt idx="2731">
                  <c:v>10.6975</c:v>
                </c:pt>
                <c:pt idx="2732">
                  <c:v>10.6958</c:v>
                </c:pt>
                <c:pt idx="2733">
                  <c:v>10.6983</c:v>
                </c:pt>
                <c:pt idx="2734">
                  <c:v>10.695</c:v>
                </c:pt>
                <c:pt idx="2735">
                  <c:v>10.682499999999999</c:v>
                </c:pt>
                <c:pt idx="2736">
                  <c:v>10.6945</c:v>
                </c:pt>
                <c:pt idx="2737">
                  <c:v>10.49</c:v>
                </c:pt>
                <c:pt idx="2738">
                  <c:v>10.493</c:v>
                </c:pt>
                <c:pt idx="2739">
                  <c:v>10.4945</c:v>
                </c:pt>
                <c:pt idx="2740">
                  <c:v>10.494999999999999</c:v>
                </c:pt>
                <c:pt idx="2741">
                  <c:v>10.4954</c:v>
                </c:pt>
                <c:pt idx="2742">
                  <c:v>10.4833</c:v>
                </c:pt>
                <c:pt idx="2743">
                  <c:v>10.484999999999999</c:v>
                </c:pt>
                <c:pt idx="2744">
                  <c:v>10.484999999999999</c:v>
                </c:pt>
                <c:pt idx="2745">
                  <c:v>10.4763</c:v>
                </c:pt>
                <c:pt idx="2746">
                  <c:v>10.475</c:v>
                </c:pt>
                <c:pt idx="2747">
                  <c:v>10.47</c:v>
                </c:pt>
                <c:pt idx="2748">
                  <c:v>10.4663</c:v>
                </c:pt>
                <c:pt idx="2749">
                  <c:v>10.456300000000001</c:v>
                </c:pt>
                <c:pt idx="2750">
                  <c:v>10.45</c:v>
                </c:pt>
                <c:pt idx="2751">
                  <c:v>10.442500000000001</c:v>
                </c:pt>
                <c:pt idx="2752">
                  <c:v>10.438800000000001</c:v>
                </c:pt>
                <c:pt idx="2753">
                  <c:v>10.436</c:v>
                </c:pt>
                <c:pt idx="2754">
                  <c:v>10.433299999999999</c:v>
                </c:pt>
                <c:pt idx="2755">
                  <c:v>10.4375</c:v>
                </c:pt>
                <c:pt idx="2756">
                  <c:v>10.425000000000001</c:v>
                </c:pt>
                <c:pt idx="2757">
                  <c:v>10.418799999999999</c:v>
                </c:pt>
                <c:pt idx="2758">
                  <c:v>10.414999999999999</c:v>
                </c:pt>
                <c:pt idx="2759">
                  <c:v>10.425000000000001</c:v>
                </c:pt>
                <c:pt idx="2760">
                  <c:v>10.224399999999999</c:v>
                </c:pt>
                <c:pt idx="2761">
                  <c:v>10.234400000000001</c:v>
                </c:pt>
                <c:pt idx="2762">
                  <c:v>10.237</c:v>
                </c:pt>
                <c:pt idx="2763">
                  <c:v>10.2422</c:v>
                </c:pt>
                <c:pt idx="2764">
                  <c:v>10.242900000000001</c:v>
                </c:pt>
                <c:pt idx="2765">
                  <c:v>10.244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EF2-4585-8ADA-91252D8EE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6612672"/>
        <c:axId val="-2006614848"/>
      </c:scatterChart>
      <c:valAx>
        <c:axId val="-2006612672"/>
        <c:scaling>
          <c:orientation val="minMax"/>
          <c:min val="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2006614848"/>
        <c:crosses val="autoZero"/>
        <c:crossBetween val="midCat"/>
      </c:valAx>
      <c:valAx>
        <c:axId val="-200661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200661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327480</xdr:colOff>
      <xdr:row>29</xdr:row>
      <xdr:rowOff>46837</xdr:rowOff>
    </xdr:from>
    <xdr:to>
      <xdr:col>3</xdr:col>
      <xdr:colOff>330930</xdr:colOff>
      <xdr:row>29</xdr:row>
      <xdr:rowOff>54817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xmlns="" Requires="xdr14 aink">
        <xdr:contentPart xmlns:r="http://schemas.openxmlformats.org/officeDocument/2006/relationships" r:id="rId2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40BA5E36-F39B-49A2-8536-CB44BB924E93}"/>
                </a:ext>
              </a:extLst>
            </xdr14:cNvPr>
            <xdr14:cNvContentPartPr/>
          </xdr14:nvContentPartPr>
          <xdr14:nvPr macro=""/>
          <xdr14:xfrm>
            <a:off x="3680280" y="5832175"/>
            <a:ext cx="360" cy="360"/>
          </xdr14:xfrm>
        </xdr:contentPart>
      </mc:Choice>
      <mc:Fallback>
        <xdr:pic>
          <xdr:nvPicPr>
            <xdr:cNvPr id="33" name="Entrada de lápiz 32">
              <a:extLst>
                <a:ext uri="{FF2B5EF4-FFF2-40B4-BE49-F238E27FC236}">
                  <a16:creationId xmlns:a16="http://schemas.microsoft.com/office/drawing/2014/main" xmlns="" xmlns:aink="http://schemas.microsoft.com/office/drawing/2016/ink" xmlns:xdr14="http://schemas.microsoft.com/office/excel/2010/spreadsheetDrawing" id="{40BA5E36-F39B-49A2-8536-CB44BB924E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662280" y="5724535"/>
              <a:ext cx="36000" cy="21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327480</xdr:colOff>
      <xdr:row>29</xdr:row>
      <xdr:rowOff>46837</xdr:rowOff>
    </xdr:from>
    <xdr:ext cx="360" cy="360"/>
    <mc:AlternateContent xmlns:mc="http://schemas.openxmlformats.org/markup-compatibility/2006">
      <mc:Choice xmlns:xdr14="http://schemas.microsoft.com/office/excel/2010/spreadsheetDrawing" xmlns:aink="http://schemas.microsoft.com/office/drawing/2016/ink" xmlns="" Requires="xdr14 aink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488FA9A3-BF52-431F-AD2A-D8825D01BFBF}"/>
                </a:ext>
              </a:extLst>
            </xdr14:cNvPr>
            <xdr14:cNvContentPartPr/>
          </xdr14:nvContentPartPr>
          <xdr14:nvPr macro=""/>
          <xdr14:xfrm>
            <a:off x="3680280" y="5832175"/>
            <a:ext cx="360" cy="360"/>
          </xdr14:xfrm>
        </xdr:contentPart>
      </mc:Choice>
      <mc:Fallback>
        <xdr:pic>
          <xdr:nvPicPr>
            <xdr:cNvPr id="3" name="Entrada de lápiz 32">
              <a:extLst>
                <a:ext uri="{FF2B5EF4-FFF2-40B4-BE49-F238E27FC236}">
                  <a16:creationId xmlns:a16="http://schemas.microsoft.com/office/drawing/2014/main" xmlns="" xmlns:aink="http://schemas.microsoft.com/office/drawing/2016/ink" xmlns:xdr14="http://schemas.microsoft.com/office/excel/2010/spreadsheetDrawing" id="{40BA5E36-F39B-49A2-8536-CB44BB924E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662280" y="5724535"/>
              <a:ext cx="36000" cy="21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327480</xdr:colOff>
      <xdr:row>29</xdr:row>
      <xdr:rowOff>46837</xdr:rowOff>
    </xdr:from>
    <xdr:ext cx="360" cy="360"/>
    <mc:AlternateContent xmlns:mc="http://schemas.openxmlformats.org/markup-compatibility/2006">
      <mc:Choice xmlns:xdr14="http://schemas.microsoft.com/office/excel/2010/spreadsheetDrawing" xmlns:aink="http://schemas.microsoft.com/office/drawing/2016/ink" xmlns="" Requires="xdr14 aink">
        <xdr:contentPart xmlns:r="http://schemas.openxmlformats.org/officeDocument/2006/relationships" r:id="rId6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418D693A-16EB-4487-B11F-EB837895BB67}"/>
                </a:ext>
              </a:extLst>
            </xdr14:cNvPr>
            <xdr14:cNvContentPartPr/>
          </xdr14:nvContentPartPr>
          <xdr14:nvPr macro=""/>
          <xdr14:xfrm>
            <a:off x="3680280" y="5832175"/>
            <a:ext cx="360" cy="360"/>
          </xdr14:xfrm>
        </xdr:contentPart>
      </mc:Choice>
      <mc:Fallback>
        <xdr:pic>
          <xdr:nvPicPr>
            <xdr:cNvPr id="4" name="Entrada de lápiz 32">
              <a:extLst>
                <a:ext uri="{FF2B5EF4-FFF2-40B4-BE49-F238E27FC236}">
                  <a16:creationId xmlns:a16="http://schemas.microsoft.com/office/drawing/2014/main" xmlns="" xmlns:aink="http://schemas.microsoft.com/office/drawing/2016/ink" xmlns:xdr14="http://schemas.microsoft.com/office/excel/2010/spreadsheetDrawing" id="{40BA5E36-F39B-49A2-8536-CB44BB924E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662280" y="5724535"/>
              <a:ext cx="36000" cy="21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17840</xdr:rowOff>
    </xdr:from>
    <xdr:ext cx="1608838" cy="468413"/>
    <xdr:pic>
      <xdr:nvPicPr>
        <xdr:cNvPr id="2" name="2 Imagen">
          <a:extLst>
            <a:ext uri="{FF2B5EF4-FFF2-40B4-BE49-F238E27FC236}">
              <a16:creationId xmlns:a16="http://schemas.microsoft.com/office/drawing/2014/main" xmlns="" id="{705C5661-A267-49C2-8C40-90617562C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7840"/>
          <a:ext cx="1608838" cy="468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559721</xdr:colOff>
      <xdr:row>12</xdr:row>
      <xdr:rowOff>64605</xdr:rowOff>
    </xdr:from>
    <xdr:to>
      <xdr:col>10</xdr:col>
      <xdr:colOff>611588</xdr:colOff>
      <xdr:row>34</xdr:row>
      <xdr:rowOff>97735</xdr:rowOff>
    </xdr:to>
    <xdr:sp macro="" textlink="">
      <xdr:nvSpPr>
        <xdr:cNvPr id="5" name="Flecha: hacia la izquierda 4">
          <a:extLst>
            <a:ext uri="{FF2B5EF4-FFF2-40B4-BE49-F238E27FC236}">
              <a16:creationId xmlns:a16="http://schemas.microsoft.com/office/drawing/2014/main" xmlns="" id="{88E17EA6-697D-4C8A-87B4-10F1CE205E4F}"/>
            </a:ext>
          </a:extLst>
        </xdr:cNvPr>
        <xdr:cNvSpPr/>
      </xdr:nvSpPr>
      <xdr:spPr>
        <a:xfrm>
          <a:off x="4682141" y="2602065"/>
          <a:ext cx="7542327" cy="3896470"/>
        </a:xfrm>
        <a:prstGeom prst="leftArrow">
          <a:avLst/>
        </a:prstGeom>
        <a:solidFill>
          <a:schemeClr val="accent4">
            <a:lumMod val="20000"/>
            <a:lumOff val="80000"/>
          </a:schemeClr>
        </a:solidFill>
        <a:ln w="38100">
          <a:solidFill>
            <a:schemeClr val="accent2">
              <a:lumMod val="5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Los</a:t>
          </a:r>
          <a:r>
            <a:rPr lang="es-MX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porcentajes se muestran a 6 decimales en caso de que la captura sea manual se utilicen los decimales que se  muestran. El formato de la celda del avalúo deberá seguir conservando el formato original a dos decimales. Unicamente debe hacerse la captura como se indica.</a:t>
          </a:r>
          <a:endParaRPr lang="es-MX" b="0">
            <a:solidFill>
              <a:sysClr val="windowText" lastClr="000000"/>
            </a:solidFill>
            <a:effectLst/>
          </a:endParaRPr>
        </a:p>
        <a:p>
          <a:pPr algn="l"/>
          <a:endParaRPr lang="es-MX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46</xdr:row>
      <xdr:rowOff>36134</xdr:rowOff>
    </xdr:from>
    <xdr:to>
      <xdr:col>14</xdr:col>
      <xdr:colOff>731969</xdr:colOff>
      <xdr:row>114</xdr:row>
      <xdr:rowOff>46961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E0AA9B1D-E875-4BB5-80A7-B7C0FBD27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1823"/>
          <a:ext cx="15971969" cy="12293138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15</xdr:col>
      <xdr:colOff>78316</xdr:colOff>
      <xdr:row>46</xdr:row>
      <xdr:rowOff>48370</xdr:rowOff>
    </xdr:from>
    <xdr:to>
      <xdr:col>17</xdr:col>
      <xdr:colOff>318582</xdr:colOff>
      <xdr:row>91</xdr:row>
      <xdr:rowOff>75513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F373C156-AF2F-F7E2-EB2B-072E5639A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3656" y="8681830"/>
          <a:ext cx="1825226" cy="8256743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141514</xdr:rowOff>
    </xdr:from>
    <xdr:to>
      <xdr:col>19</xdr:col>
      <xdr:colOff>73716</xdr:colOff>
      <xdr:row>83</xdr:row>
      <xdr:rowOff>3844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xmlns="" id="{F2B36ED1-746B-8635-AB58-ADB81DDFAE4F}"/>
            </a:ext>
          </a:extLst>
        </xdr:cNvPr>
        <xdr:cNvGrpSpPr/>
      </xdr:nvGrpSpPr>
      <xdr:grpSpPr>
        <a:xfrm>
          <a:off x="0" y="3576287"/>
          <a:ext cx="17269227" cy="12620057"/>
          <a:chOff x="0" y="3438896"/>
          <a:chExt cx="17793680" cy="12109748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xmlns="" id="{9882F5E7-E782-42AB-BD50-224D6B1E0B2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3438896"/>
            <a:ext cx="15925357" cy="12109748"/>
          </a:xfrm>
          <a:prstGeom prst="rect">
            <a:avLst/>
          </a:prstGeom>
          <a:solidFill>
            <a:schemeClr val="bg1"/>
          </a:solidFill>
        </xdr:spPr>
      </xdr:pic>
      <xdr:pic>
        <xdr:nvPicPr>
          <xdr:cNvPr id="2" name="Imagen 1">
            <a:extLst>
              <a:ext uri="{FF2B5EF4-FFF2-40B4-BE49-F238E27FC236}">
                <a16:creationId xmlns:a16="http://schemas.microsoft.com/office/drawing/2014/main" xmlns="" id="{1268EB5E-37DB-4C36-933B-6052BAC4CB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974290" y="3449782"/>
            <a:ext cx="1819390" cy="8095246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326572</xdr:colOff>
      <xdr:row>0</xdr:row>
      <xdr:rowOff>97971</xdr:rowOff>
    </xdr:from>
    <xdr:to>
      <xdr:col>9</xdr:col>
      <xdr:colOff>452851</xdr:colOff>
      <xdr:row>40</xdr:row>
      <xdr:rowOff>37159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5C2D2B7-F8A3-4B5A-B976-D22F8BD48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72" y="97971"/>
          <a:ext cx="7278193" cy="73414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55688" cy="773203"/>
    <xdr:pic>
      <xdr:nvPicPr>
        <xdr:cNvPr id="2" name="2 Imagen">
          <a:extLst>
            <a:ext uri="{FF2B5EF4-FFF2-40B4-BE49-F238E27FC236}">
              <a16:creationId xmlns:a16="http://schemas.microsoft.com/office/drawing/2014/main" xmlns="" id="{65D33F26-64FC-4865-8F03-DBD063A9D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2655688" cy="773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74252</xdr:colOff>
      <xdr:row>1301</xdr:row>
      <xdr:rowOff>5847</xdr:rowOff>
    </xdr:from>
    <xdr:to>
      <xdr:col>19</xdr:col>
      <xdr:colOff>304801</xdr:colOff>
      <xdr:row>1329</xdr:row>
      <xdr:rowOff>143046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0AD9CCAB-35AF-AEDB-AD5B-ED999EE5F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399569</xdr:colOff>
      <xdr:row>1339</xdr:row>
      <xdr:rowOff>17930</xdr:rowOff>
    </xdr:from>
    <xdr:to>
      <xdr:col>21</xdr:col>
      <xdr:colOff>463632</xdr:colOff>
      <xdr:row>1361</xdr:row>
      <xdr:rowOff>1922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1CB28801-D75C-4501-9648-70E0FF914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333</xdr:row>
      <xdr:rowOff>0</xdr:rowOff>
    </xdr:from>
    <xdr:to>
      <xdr:col>0</xdr:col>
      <xdr:colOff>304800</xdr:colOff>
      <xdr:row>334</xdr:row>
      <xdr:rowOff>133350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xmlns="" id="{CB487DCA-54D2-9674-C9A0-14AFEF1E0187}"/>
            </a:ext>
          </a:extLst>
        </xdr:cNvPr>
        <xdr:cNvSpPr>
          <a:spLocks noChangeAspect="1" noChangeArrowheads="1"/>
        </xdr:cNvSpPr>
      </xdr:nvSpPr>
      <xdr:spPr bwMode="auto">
        <a:xfrm>
          <a:off x="0" y="6237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304800</xdr:colOff>
      <xdr:row>334</xdr:row>
      <xdr:rowOff>133350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xmlns="" id="{3F2A0A26-2968-2759-9BB8-08C71190D6B4}"/>
            </a:ext>
          </a:extLst>
        </xdr:cNvPr>
        <xdr:cNvSpPr>
          <a:spLocks noChangeAspect="1" noChangeArrowheads="1"/>
        </xdr:cNvSpPr>
      </xdr:nvSpPr>
      <xdr:spPr bwMode="auto">
        <a:xfrm>
          <a:off x="0" y="6237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112059</xdr:colOff>
      <xdr:row>2765</xdr:row>
      <xdr:rowOff>0</xdr:rowOff>
    </xdr:from>
    <xdr:to>
      <xdr:col>11</xdr:col>
      <xdr:colOff>610048</xdr:colOff>
      <xdr:row>2779</xdr:row>
      <xdr:rowOff>102085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A3594EC9-A612-409D-85F7-64FBB3313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23T22:24:38.766"/>
    </inkml:context>
    <inkml:brush xml:id="br0">
      <inkml:brushProperty name="width" value="0.1" units="cm"/>
      <inkml:brushProperty name="height" value="0.6" units="cm"/>
      <inkml:brushProperty name="color" value="#F6630D"/>
      <inkml:brushProperty name="ignorePressure" value="1"/>
      <inkml:brushProperty name="inkEffects" value="pencil"/>
    </inkml:brush>
  </inkml:definitions>
  <inkml:trace contextRef="#ctx0" brushRef="#br0">0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03-15T18:33:14.530"/>
    </inkml:context>
    <inkml:brush xml:id="br0">
      <inkml:brushProperty name="width" value="0.1" units="cm"/>
      <inkml:brushProperty name="height" value="0.6" units="cm"/>
      <inkml:brushProperty name="color" value="#F6630D"/>
      <inkml:brushProperty name="ignorePressure" value="1"/>
      <inkml:brushProperty name="inkEffects" value="pencil"/>
    </inkml:brush>
  </inkml:definitions>
  <inkml:trace contextRef="#ctx0" brushRef="#br0">0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03-15T18:33:17.329"/>
    </inkml:context>
    <inkml:brush xml:id="br0">
      <inkml:brushProperty name="width" value="0.1" units="cm"/>
      <inkml:brushProperty name="height" value="0.6" units="cm"/>
      <inkml:brushProperty name="color" value="#F6630D"/>
      <inkml:brushProperty name="ignorePressure" value="1"/>
      <inkml:brushProperty name="inkEffects" value="pencil"/>
    </inkml:brush>
  </inkml:definitions>
  <inkml:trace contextRef="#ctx0" brushRef="#br0">0 1,'0'0</inkml:trace>
</inkml:ink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banxico.org.mx/SieInternet/consultarDirectorioInternetAction.do?sector=22&amp;accion=consultarCuadro&amp;idCuadro=CF107&amp;locale=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nxico.org.mx/SieInternet/consultarDirectorioInternetAction.do?accion=consultarCuadro&amp;idCuadro=CP154&amp;locale=es" TargetMode="External"/><Relationship Id="rId2" Type="http://schemas.openxmlformats.org/officeDocument/2006/relationships/hyperlink" Target="http://www.banxico.org.mx/SieInternet/consultarDirectorioInternetAction.do?accion=consultarCuadro&amp;idCuadro=CP154&amp;locale=es" TargetMode="External"/><Relationship Id="rId1" Type="http://schemas.openxmlformats.org/officeDocument/2006/relationships/hyperlink" Target="https://www.inegi.org.mx/app/tabulados/default.aspx?nc=ca55_2018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banxico.org.mx/SieInternet/consultarDirectorioInternetAction.do?sector=18&amp;accion=consultarCuadro&amp;idCuadro=CF101&amp;locale=es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banxico.org.mx/SieInternet/consultarDirectorioInternetAction.do?accion=consultarCuadro&amp;idCuadro=CF57&amp;sector=7&amp;locale=es" TargetMode="External"/><Relationship Id="rId1" Type="http://schemas.openxmlformats.org/officeDocument/2006/relationships/hyperlink" Target="https://mx.investing.com/indices/ipc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2:F46"/>
  <sheetViews>
    <sheetView tabSelected="1" zoomScale="90" zoomScaleNormal="90" workbookViewId="0">
      <selection activeCell="D25" sqref="D25"/>
    </sheetView>
  </sheetViews>
  <sheetFormatPr baseColWidth="10" defaultRowHeight="15" x14ac:dyDescent="0.25"/>
  <cols>
    <col min="1" max="1" width="32.7109375" bestFit="1" customWidth="1"/>
    <col min="2" max="2" width="10.28515625" bestFit="1" customWidth="1"/>
    <col min="3" max="3" width="8.28515625" bestFit="1" customWidth="1"/>
    <col min="4" max="4" width="10.5703125" customWidth="1"/>
    <col min="5" max="5" width="33" customWidth="1"/>
    <col min="6" max="6" width="24" customWidth="1"/>
    <col min="7" max="7" width="11.5703125" customWidth="1"/>
  </cols>
  <sheetData>
    <row r="2" spans="1:6" x14ac:dyDescent="0.25">
      <c r="A2" s="71"/>
      <c r="B2" s="71"/>
      <c r="C2" s="71"/>
      <c r="D2" s="72" t="s">
        <v>100</v>
      </c>
      <c r="E2" s="200">
        <v>45674</v>
      </c>
    </row>
    <row r="3" spans="1:6" x14ac:dyDescent="0.25">
      <c r="A3" s="71"/>
      <c r="B3" s="71"/>
      <c r="C3" s="71"/>
      <c r="D3" s="71"/>
      <c r="E3" s="71"/>
    </row>
    <row r="4" spans="1:6" x14ac:dyDescent="0.25">
      <c r="C4" s="72" t="s">
        <v>101</v>
      </c>
      <c r="D4" s="74" t="str">
        <f>CONCATENATE("Útimos 60 meses al cierre del mes de "," ",TEXT(C15,"MMMM")," de ",TEXT(C15,"AAAA"))</f>
        <v>Útimos 60 meses al cierre del mes de  noviembre de 2024</v>
      </c>
      <c r="E4" s="73"/>
    </row>
    <row r="5" spans="1:6" x14ac:dyDescent="0.25">
      <c r="C5" s="72" t="s">
        <v>102</v>
      </c>
      <c r="D5" s="245">
        <f>+C16</f>
        <v>45597</v>
      </c>
      <c r="E5" s="245"/>
    </row>
    <row r="6" spans="1:6" x14ac:dyDescent="0.25">
      <c r="A6" s="72"/>
      <c r="B6" s="72"/>
      <c r="C6" s="72"/>
      <c r="D6" s="75"/>
      <c r="E6" s="71"/>
    </row>
    <row r="7" spans="1:6" ht="28.15" customHeight="1" x14ac:dyDescent="0.25">
      <c r="A7" s="53"/>
      <c r="B7" s="53"/>
      <c r="D7" s="88" t="s">
        <v>95</v>
      </c>
      <c r="E7" s="203" t="s">
        <v>88</v>
      </c>
      <c r="F7" s="201" t="s">
        <v>103</v>
      </c>
    </row>
    <row r="8" spans="1:6" ht="25.5" x14ac:dyDescent="0.25">
      <c r="D8" s="88" t="s">
        <v>72</v>
      </c>
      <c r="E8" s="204">
        <v>8</v>
      </c>
      <c r="F8" s="202" t="s">
        <v>104</v>
      </c>
    </row>
    <row r="10" spans="1:6" ht="21.6" customHeight="1" x14ac:dyDescent="0.25">
      <c r="A10" s="246" t="s">
        <v>115</v>
      </c>
      <c r="B10" s="246"/>
      <c r="C10" s="246"/>
      <c r="D10" s="246"/>
    </row>
    <row r="11" spans="1:6" ht="21.6" customHeight="1" x14ac:dyDescent="0.25">
      <c r="A11" s="246"/>
      <c r="B11" s="246"/>
      <c r="C11" s="246"/>
      <c r="D11" s="246"/>
    </row>
    <row r="12" spans="1:6" ht="26.45" customHeight="1" x14ac:dyDescent="0.25">
      <c r="B12" s="53"/>
      <c r="C12" s="53"/>
      <c r="D12" s="16"/>
    </row>
    <row r="13" spans="1:6" x14ac:dyDescent="0.25">
      <c r="A13" s="53" t="s">
        <v>62</v>
      </c>
      <c r="B13" s="53"/>
      <c r="C13" s="53"/>
    </row>
    <row r="14" spans="1:6" x14ac:dyDescent="0.25">
      <c r="A14" s="94" t="s">
        <v>63</v>
      </c>
      <c r="B14" s="94"/>
      <c r="C14" s="94"/>
      <c r="D14" s="95" t="s">
        <v>64</v>
      </c>
    </row>
    <row r="15" spans="1:6" x14ac:dyDescent="0.25">
      <c r="A15" s="86" t="s">
        <v>65</v>
      </c>
      <c r="B15" s="93">
        <f>+INPC!C332</f>
        <v>43770</v>
      </c>
      <c r="C15" s="93">
        <f>+INPC!D332</f>
        <v>45597</v>
      </c>
      <c r="D15" s="143">
        <f>CETES!F1357/100</f>
        <v>7.8352873563218378E-2</v>
      </c>
    </row>
    <row r="16" spans="1:6" x14ac:dyDescent="0.25">
      <c r="A16" s="85" t="s">
        <v>67</v>
      </c>
      <c r="B16" s="93">
        <f>+INPC!C332</f>
        <v>43770</v>
      </c>
      <c r="C16" s="93">
        <f>+INPC!D332</f>
        <v>45597</v>
      </c>
      <c r="D16" s="144">
        <f>INPC!D331/100</f>
        <v>5.4233074095233924E-2</v>
      </c>
    </row>
    <row r="17" spans="1:6" x14ac:dyDescent="0.25">
      <c r="A17" s="85" t="s">
        <v>69</v>
      </c>
      <c r="B17" s="85"/>
      <c r="C17" s="85"/>
      <c r="D17" s="145">
        <f>(D15-D16)/(1+D16)</f>
        <v>2.2879000916077877E-2</v>
      </c>
      <c r="E17" s="122"/>
      <c r="F17" s="124"/>
    </row>
    <row r="18" spans="1:6" x14ac:dyDescent="0.25">
      <c r="A18" s="205" t="s">
        <v>72</v>
      </c>
      <c r="B18" s="206"/>
      <c r="C18" s="206"/>
      <c r="D18" s="207">
        <f>$E$8</f>
        <v>8</v>
      </c>
      <c r="E18" s="54"/>
    </row>
    <row r="19" spans="1:6" x14ac:dyDescent="0.25">
      <c r="A19" s="210" t="s">
        <v>71</v>
      </c>
      <c r="B19" s="210"/>
      <c r="C19" s="210"/>
      <c r="D19" s="211">
        <f>VLOOKUP(E7,'VUE - Vida Util Economica'!A4:M12,12,FALSE)</f>
        <v>42</v>
      </c>
      <c r="E19" s="54"/>
    </row>
    <row r="20" spans="1:6" x14ac:dyDescent="0.25">
      <c r="A20" s="209" t="s">
        <v>70</v>
      </c>
      <c r="B20" s="209"/>
      <c r="C20" s="209"/>
      <c r="D20" s="208">
        <f>1/D19</f>
        <v>2.3809523809523808E-2</v>
      </c>
      <c r="E20" s="54"/>
    </row>
    <row r="21" spans="1:6" x14ac:dyDescent="0.25">
      <c r="A21" s="212" t="s">
        <v>127</v>
      </c>
      <c r="B21" s="212"/>
      <c r="C21" s="212"/>
      <c r="D21" s="213">
        <v>1.19</v>
      </c>
      <c r="E21" s="54"/>
    </row>
    <row r="22" spans="1:6" x14ac:dyDescent="0.25">
      <c r="A22" s="86" t="s">
        <v>66</v>
      </c>
      <c r="B22" s="86"/>
      <c r="C22" s="86"/>
      <c r="D22" s="100">
        <f>(D17+D20)*D21</f>
        <v>5.5559344423466002E-2</v>
      </c>
      <c r="E22" s="54"/>
    </row>
    <row r="23" spans="1:6" x14ac:dyDescent="0.25">
      <c r="A23" s="87" t="s">
        <v>68</v>
      </c>
      <c r="B23" s="87"/>
      <c r="C23" s="87"/>
      <c r="D23" s="101">
        <f>LOG(1+D22)</f>
        <v>2.3482654726707863E-2</v>
      </c>
      <c r="E23" s="54"/>
    </row>
    <row r="24" spans="1:6" x14ac:dyDescent="0.25">
      <c r="A24" s="86" t="s">
        <v>105</v>
      </c>
      <c r="B24" s="86"/>
      <c r="C24" s="86"/>
      <c r="D24" s="102">
        <f>0.301/D23</f>
        <v>12.817971541252504</v>
      </c>
      <c r="F24" s="55"/>
    </row>
    <row r="25" spans="1:6" ht="20.25" x14ac:dyDescent="0.25">
      <c r="A25" s="103" t="s">
        <v>62</v>
      </c>
      <c r="B25" s="103"/>
      <c r="C25" s="103"/>
      <c r="D25" s="339">
        <f>(1/D24)</f>
        <v>7.8015464208331775E-2</v>
      </c>
      <c r="E25" s="124"/>
      <c r="F25" s="82"/>
    </row>
    <row r="26" spans="1:6" x14ac:dyDescent="0.25">
      <c r="E26" s="121"/>
    </row>
    <row r="27" spans="1:6" x14ac:dyDescent="0.25">
      <c r="E27" s="121"/>
    </row>
    <row r="28" spans="1:6" x14ac:dyDescent="0.25">
      <c r="D28" s="121"/>
      <c r="E28" s="121"/>
    </row>
    <row r="29" spans="1:6" x14ac:dyDescent="0.25">
      <c r="E29" s="121"/>
      <c r="F29" s="82"/>
    </row>
    <row r="30" spans="1:6" x14ac:dyDescent="0.25">
      <c r="D30" s="123"/>
      <c r="E30" s="121"/>
    </row>
    <row r="31" spans="1:6" x14ac:dyDescent="0.25">
      <c r="E31" s="140"/>
      <c r="F31" s="121"/>
    </row>
    <row r="32" spans="1:6" x14ac:dyDescent="0.25">
      <c r="E32" s="141"/>
      <c r="F32" s="141"/>
    </row>
    <row r="33" spans="2:6" x14ac:dyDescent="0.25">
      <c r="E33" s="142"/>
    </row>
    <row r="34" spans="2:6" x14ac:dyDescent="0.25">
      <c r="E34" s="121"/>
    </row>
    <row r="35" spans="2:6" x14ac:dyDescent="0.25">
      <c r="E35" s="121"/>
    </row>
    <row r="36" spans="2:6" x14ac:dyDescent="0.25">
      <c r="D36" s="133"/>
      <c r="E36" s="124"/>
      <c r="F36" s="134"/>
    </row>
    <row r="37" spans="2:6" x14ac:dyDescent="0.25">
      <c r="B37" s="124"/>
      <c r="E37" s="121"/>
    </row>
    <row r="38" spans="2:6" x14ac:dyDescent="0.25">
      <c r="B38" s="121"/>
      <c r="E38" s="121"/>
    </row>
    <row r="39" spans="2:6" x14ac:dyDescent="0.25">
      <c r="B39" s="121"/>
      <c r="E39" s="121"/>
    </row>
    <row r="40" spans="2:6" x14ac:dyDescent="0.25">
      <c r="B40" s="121"/>
      <c r="E40" s="121"/>
    </row>
    <row r="41" spans="2:6" x14ac:dyDescent="0.25">
      <c r="B41" s="121"/>
    </row>
    <row r="42" spans="2:6" x14ac:dyDescent="0.25">
      <c r="B42" s="121"/>
    </row>
    <row r="43" spans="2:6" x14ac:dyDescent="0.25">
      <c r="B43" s="121"/>
    </row>
    <row r="44" spans="2:6" x14ac:dyDescent="0.25">
      <c r="B44" s="121"/>
    </row>
    <row r="45" spans="2:6" x14ac:dyDescent="0.25">
      <c r="B45" s="121"/>
    </row>
    <row r="46" spans="2:6" x14ac:dyDescent="0.25">
      <c r="B46" s="134"/>
    </row>
  </sheetData>
  <mergeCells count="2">
    <mergeCell ref="D5:E5"/>
    <mergeCell ref="A10:D11"/>
  </mergeCells>
  <dataValidations count="1">
    <dataValidation allowBlank="1" showInputMessage="1" showErrorMessage="1" prompt="Conforme a la Nota Técnica 67  ( 1 / VUE )" sqref="D20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'VUE - Vida Util Economica'!$A$4:$A$12</xm:f>
          </x14:formula1>
          <xm:sqref>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2:E44"/>
  <sheetViews>
    <sheetView topLeftCell="A39" zoomScale="115" zoomScaleNormal="115" workbookViewId="0">
      <selection activeCell="A7" sqref="A7"/>
    </sheetView>
  </sheetViews>
  <sheetFormatPr baseColWidth="10" defaultRowHeight="15" x14ac:dyDescent="0.25"/>
  <cols>
    <col min="1" max="1" width="33.42578125" customWidth="1"/>
    <col min="2" max="3" width="11.5703125" customWidth="1"/>
    <col min="4" max="4" width="10.5703125" customWidth="1"/>
    <col min="5" max="5" width="35.7109375" customWidth="1"/>
    <col min="6" max="6" width="30" customWidth="1"/>
  </cols>
  <sheetData>
    <row r="2" spans="1:5" x14ac:dyDescent="0.25">
      <c r="A2" s="71"/>
      <c r="B2" s="71"/>
      <c r="C2" s="71"/>
      <c r="D2" s="72" t="s">
        <v>100</v>
      </c>
      <c r="E2" s="200">
        <f>'Tasa de Capitalizacion'!E2</f>
        <v>45674</v>
      </c>
    </row>
    <row r="3" spans="1:5" x14ac:dyDescent="0.25">
      <c r="A3" s="71"/>
      <c r="B3" s="71"/>
      <c r="C3" s="71"/>
      <c r="D3" s="71"/>
      <c r="E3" s="71"/>
    </row>
    <row r="4" spans="1:5" x14ac:dyDescent="0.25">
      <c r="C4" s="72" t="s">
        <v>101</v>
      </c>
      <c r="D4" s="74" t="str">
        <f>'Tasa de Capitalizacion'!D4</f>
        <v>Útimos 60 meses al cierre del mes de  noviembre de 2024</v>
      </c>
      <c r="E4" s="73"/>
    </row>
    <row r="5" spans="1:5" x14ac:dyDescent="0.25">
      <c r="C5" s="72" t="s">
        <v>102</v>
      </c>
      <c r="D5" s="245">
        <f>'Tasa de Capitalizacion'!D5</f>
        <v>45597</v>
      </c>
      <c r="E5" s="245"/>
    </row>
    <row r="6" spans="1:5" x14ac:dyDescent="0.25">
      <c r="A6" s="72"/>
      <c r="B6" s="72"/>
      <c r="C6" s="72"/>
      <c r="D6" s="75"/>
      <c r="E6" s="71"/>
    </row>
    <row r="7" spans="1:5" ht="28.15" customHeight="1" x14ac:dyDescent="0.25">
      <c r="A7" s="53"/>
      <c r="B7" s="53"/>
      <c r="D7" s="88" t="s">
        <v>95</v>
      </c>
      <c r="E7" s="214" t="str">
        <f>+'Tasa de Capitalizacion'!E7</f>
        <v>Centros y Plazas Comerciales</v>
      </c>
    </row>
    <row r="8" spans="1:5" ht="15.75" x14ac:dyDescent="0.25">
      <c r="D8" s="88" t="s">
        <v>72</v>
      </c>
      <c r="E8" s="215">
        <f>+'Tasa de Capitalizacion'!E8</f>
        <v>8</v>
      </c>
    </row>
    <row r="9" spans="1:5" x14ac:dyDescent="0.25">
      <c r="B9" s="53"/>
      <c r="C9" s="53"/>
      <c r="D9" s="16"/>
    </row>
    <row r="10" spans="1:5" x14ac:dyDescent="0.25">
      <c r="B10" s="53"/>
      <c r="C10" s="53"/>
      <c r="D10" s="16"/>
    </row>
    <row r="11" spans="1:5" x14ac:dyDescent="0.25">
      <c r="B11" s="53"/>
      <c r="C11" s="53"/>
      <c r="D11" s="16"/>
    </row>
    <row r="12" spans="1:5" x14ac:dyDescent="0.25">
      <c r="B12" s="53"/>
      <c r="C12" s="53"/>
      <c r="D12" s="16"/>
    </row>
    <row r="13" spans="1:5" x14ac:dyDescent="0.25">
      <c r="B13" s="53"/>
      <c r="C13" s="53"/>
      <c r="D13" s="16"/>
    </row>
    <row r="14" spans="1:5" x14ac:dyDescent="0.25">
      <c r="B14" s="53"/>
      <c r="C14" s="53"/>
      <c r="D14" s="16"/>
    </row>
    <row r="15" spans="1:5" x14ac:dyDescent="0.25">
      <c r="A15" s="53" t="s">
        <v>113</v>
      </c>
      <c r="B15" s="53"/>
      <c r="C15" s="53"/>
      <c r="D15" s="16"/>
    </row>
    <row r="16" spans="1:5" x14ac:dyDescent="0.25">
      <c r="A16" s="94" t="s">
        <v>63</v>
      </c>
      <c r="B16" s="106" t="s">
        <v>120</v>
      </c>
      <c r="C16" s="106" t="s">
        <v>121</v>
      </c>
      <c r="D16" s="95" t="s">
        <v>64</v>
      </c>
    </row>
    <row r="17" spans="1:4" s="42" customFormat="1" ht="15.75" thickBot="1" x14ac:dyDescent="0.3">
      <c r="A17" s="16" t="s">
        <v>123</v>
      </c>
      <c r="B17" s="93"/>
      <c r="C17" s="93"/>
      <c r="D17" s="114"/>
    </row>
    <row r="18" spans="1:4" ht="14.45" customHeight="1" x14ac:dyDescent="0.25">
      <c r="A18" s="79" t="s">
        <v>65</v>
      </c>
      <c r="B18" s="96">
        <f>CETES!E1358</f>
        <v>43802</v>
      </c>
      <c r="C18" s="97">
        <f>CETES!F1358</f>
        <v>45627</v>
      </c>
      <c r="D18" s="99">
        <f>CETES!F1357/100</f>
        <v>7.8352873563218378E-2</v>
      </c>
    </row>
    <row r="19" spans="1:4" x14ac:dyDescent="0.25">
      <c r="A19" s="79" t="s">
        <v>67</v>
      </c>
      <c r="B19" s="92">
        <f>B18</f>
        <v>43802</v>
      </c>
      <c r="C19" s="93">
        <f>+C18</f>
        <v>45627</v>
      </c>
      <c r="D19" s="108">
        <f>INPC!D331/100</f>
        <v>5.4233074095233924E-2</v>
      </c>
    </row>
    <row r="20" spans="1:4" x14ac:dyDescent="0.25">
      <c r="A20" s="109" t="s">
        <v>71</v>
      </c>
      <c r="B20" s="109"/>
      <c r="C20" s="113"/>
      <c r="D20" s="110">
        <f>VLOOKUP('Tasa de Capitalizacion'!E7,'VUE - Vida Util Economica'!A4:M12,12,FALSE)</f>
        <v>42</v>
      </c>
    </row>
    <row r="21" spans="1:4" ht="15.75" thickBot="1" x14ac:dyDescent="0.3">
      <c r="A21" s="80" t="s">
        <v>127</v>
      </c>
      <c r="B21" s="111"/>
      <c r="C21" s="112"/>
      <c r="D21" s="132">
        <f>'Tasa de Capitalizacion'!D21</f>
        <v>1.19</v>
      </c>
    </row>
    <row r="22" spans="1:4" x14ac:dyDescent="0.25">
      <c r="A22" s="42"/>
    </row>
    <row r="23" spans="1:4" x14ac:dyDescent="0.25">
      <c r="A23" s="42"/>
    </row>
    <row r="24" spans="1:4" x14ac:dyDescent="0.25">
      <c r="A24" s="42"/>
    </row>
    <row r="25" spans="1:4" x14ac:dyDescent="0.25">
      <c r="A25" s="42"/>
    </row>
    <row r="26" spans="1:4" x14ac:dyDescent="0.25">
      <c r="A26" s="53" t="s">
        <v>114</v>
      </c>
    </row>
    <row r="27" spans="1:4" x14ac:dyDescent="0.25">
      <c r="A27" s="94" t="s">
        <v>63</v>
      </c>
      <c r="B27" s="106" t="s">
        <v>120</v>
      </c>
      <c r="C27" s="106" t="s">
        <v>121</v>
      </c>
      <c r="D27" s="95" t="s">
        <v>64</v>
      </c>
    </row>
    <row r="28" spans="1:4" ht="15.75" thickBot="1" x14ac:dyDescent="0.3">
      <c r="A28" s="16" t="s">
        <v>124</v>
      </c>
      <c r="B28" s="93"/>
      <c r="C28" s="93"/>
      <c r="D28" s="115"/>
    </row>
    <row r="29" spans="1:4" x14ac:dyDescent="0.25">
      <c r="A29" s="117" t="s">
        <v>109</v>
      </c>
      <c r="B29" s="96">
        <f>CETES!$E$1370</f>
        <v>38327</v>
      </c>
      <c r="C29" s="97">
        <f>CETES!$F$1358</f>
        <v>45627</v>
      </c>
      <c r="D29" s="116">
        <f>'IPyC 2024'!C28</f>
        <v>8.5401536755357554E-2</v>
      </c>
    </row>
    <row r="30" spans="1:4" x14ac:dyDescent="0.25">
      <c r="A30" s="117" t="s">
        <v>110</v>
      </c>
      <c r="B30" s="92">
        <f>B29</f>
        <v>38327</v>
      </c>
      <c r="C30" s="93">
        <f>+C29</f>
        <v>45627</v>
      </c>
      <c r="D30" s="98">
        <f>CETES!F1369/100</f>
        <v>6.2379290508149617E-2</v>
      </c>
    </row>
    <row r="31" spans="1:4" x14ac:dyDescent="0.25">
      <c r="A31" s="79" t="s">
        <v>117</v>
      </c>
      <c r="B31" s="92">
        <f>+B30</f>
        <v>38327</v>
      </c>
      <c r="C31" s="93">
        <f>+C30</f>
        <v>45627</v>
      </c>
      <c r="D31" s="98">
        <f>INPC!D337/100</f>
        <v>4.3998465238327844E-2</v>
      </c>
    </row>
    <row r="32" spans="1:4" x14ac:dyDescent="0.25">
      <c r="A32" s="117" t="s">
        <v>127</v>
      </c>
      <c r="B32" s="104"/>
      <c r="C32" s="83"/>
      <c r="D32" s="131">
        <f>'Tasa de Capitalizacion'!D21</f>
        <v>1.19</v>
      </c>
    </row>
    <row r="33" spans="1:4" x14ac:dyDescent="0.25">
      <c r="B33" s="104"/>
      <c r="D33" s="107"/>
    </row>
    <row r="34" spans="1:4" x14ac:dyDescent="0.25">
      <c r="B34" s="104"/>
      <c r="D34" s="107"/>
    </row>
    <row r="35" spans="1:4" x14ac:dyDescent="0.25">
      <c r="A35" s="16" t="s">
        <v>125</v>
      </c>
      <c r="B35" s="104"/>
      <c r="D35" s="90"/>
    </row>
    <row r="36" spans="1:4" x14ac:dyDescent="0.25">
      <c r="A36" s="117" t="s">
        <v>119</v>
      </c>
      <c r="B36" s="92">
        <f>CETES!E1364</f>
        <v>45262.583333333336</v>
      </c>
      <c r="C36" s="93">
        <f>CETES!F1364</f>
        <v>45627</v>
      </c>
      <c r="D36" s="98">
        <f>'TIIE '!D2785/100</f>
        <v>0.110987980079681</v>
      </c>
    </row>
    <row r="37" spans="1:4" x14ac:dyDescent="0.25">
      <c r="A37" s="117" t="s">
        <v>111</v>
      </c>
      <c r="B37" s="92">
        <f>$B$36</f>
        <v>45262.583333333336</v>
      </c>
      <c r="C37" s="93">
        <f>+$C$36</f>
        <v>45627</v>
      </c>
      <c r="D37" s="98">
        <f>CETES!F1363/100</f>
        <v>0.10715576923076922</v>
      </c>
    </row>
    <row r="38" spans="1:4" x14ac:dyDescent="0.25">
      <c r="A38" s="117" t="s">
        <v>118</v>
      </c>
      <c r="B38" s="92">
        <f>$B$36</f>
        <v>45262.583333333336</v>
      </c>
      <c r="C38" s="93">
        <f>+$C$36</f>
        <v>45627</v>
      </c>
      <c r="D38" s="98">
        <f>INPC!D334/100</f>
        <v>4.2123393743437321E-2</v>
      </c>
    </row>
    <row r="39" spans="1:4" x14ac:dyDescent="0.25">
      <c r="A39" s="117" t="s">
        <v>112</v>
      </c>
      <c r="B39" s="104"/>
      <c r="C39" s="83"/>
      <c r="D39" s="89">
        <v>0.04</v>
      </c>
    </row>
    <row r="40" spans="1:4" ht="15.75" thickBot="1" x14ac:dyDescent="0.3">
      <c r="A40" s="117" t="s">
        <v>122</v>
      </c>
      <c r="B40" s="105"/>
      <c r="C40" s="84"/>
      <c r="D40" s="91">
        <v>0.35</v>
      </c>
    </row>
    <row r="44" spans="1:4" x14ac:dyDescent="0.25">
      <c r="A44" s="53" t="s">
        <v>116</v>
      </c>
    </row>
  </sheetData>
  <mergeCells count="1">
    <mergeCell ref="D5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zoomScale="132" zoomScaleNormal="55" workbookViewId="0">
      <selection activeCell="J4" sqref="J4"/>
    </sheetView>
  </sheetViews>
  <sheetFormatPr baseColWidth="10" defaultRowHeight="15" x14ac:dyDescent="0.25"/>
  <cols>
    <col min="1" max="1" width="29.7109375" customWidth="1"/>
    <col min="3" max="3" width="15.28515625" customWidth="1"/>
    <col min="4" max="4" width="15.7109375" customWidth="1"/>
    <col min="10" max="10" width="14.140625" customWidth="1"/>
    <col min="11" max="11" width="18.7109375" customWidth="1"/>
    <col min="13" max="13" width="15.140625" customWidth="1"/>
  </cols>
  <sheetData>
    <row r="1" spans="1:13" ht="18" x14ac:dyDescent="0.25">
      <c r="A1" s="247" t="s">
        <v>94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3" spans="1:13" ht="60" x14ac:dyDescent="0.25">
      <c r="A3" s="56" t="s">
        <v>73</v>
      </c>
      <c r="B3" s="56" t="s">
        <v>74</v>
      </c>
      <c r="C3" s="56" t="s">
        <v>75</v>
      </c>
      <c r="D3" s="56" t="s">
        <v>76</v>
      </c>
      <c r="E3" s="56" t="s">
        <v>77</v>
      </c>
      <c r="F3" s="56" t="s">
        <v>78</v>
      </c>
      <c r="G3" s="56" t="s">
        <v>79</v>
      </c>
      <c r="H3" s="56" t="s">
        <v>80</v>
      </c>
      <c r="I3" s="57" t="s">
        <v>81</v>
      </c>
      <c r="J3" s="56" t="s">
        <v>82</v>
      </c>
      <c r="K3" s="58" t="s">
        <v>83</v>
      </c>
      <c r="L3" s="77" t="s">
        <v>84</v>
      </c>
      <c r="M3" s="59" t="s">
        <v>85</v>
      </c>
    </row>
    <row r="4" spans="1:13" x14ac:dyDescent="0.25">
      <c r="A4" s="60" t="s">
        <v>86</v>
      </c>
      <c r="B4" s="61">
        <f>'Tasa de Capitalizacion'!$D$18</f>
        <v>8</v>
      </c>
      <c r="C4" s="62">
        <f>IF(B4&lt;=18,B4,"18")</f>
        <v>8</v>
      </c>
      <c r="D4" s="63">
        <v>10000000</v>
      </c>
      <c r="E4" s="64">
        <v>0.4</v>
      </c>
      <c r="F4" s="64">
        <v>0.6</v>
      </c>
      <c r="G4" s="65">
        <v>50</v>
      </c>
      <c r="H4" s="65">
        <f>ROUND((G$4*E$4)-C4,0)</f>
        <v>12</v>
      </c>
      <c r="I4" s="65">
        <f>ROUND((G$4*F$4),0)</f>
        <v>30</v>
      </c>
      <c r="J4" s="66">
        <f>(D$4*E$4)/(H4-1)</f>
        <v>363636.36363636365</v>
      </c>
      <c r="K4" s="67">
        <f>((D$4*2)/J4)^0.5</f>
        <v>7.416198487095663</v>
      </c>
      <c r="L4" s="78">
        <f>ROUND((I4+K4),0)</f>
        <v>37</v>
      </c>
      <c r="M4" s="68">
        <f t="shared" ref="M4:M10" si="0">1/L4</f>
        <v>2.7027027027027029E-2</v>
      </c>
    </row>
    <row r="5" spans="1:13" x14ac:dyDescent="0.25">
      <c r="A5" s="60" t="s">
        <v>87</v>
      </c>
      <c r="B5" s="61">
        <f>'Tasa de Capitalizacion'!$D$18</f>
        <v>8</v>
      </c>
      <c r="C5" s="62">
        <f>IF(B5&lt;=28,B5,"28")</f>
        <v>8</v>
      </c>
      <c r="D5" s="63">
        <v>10000000</v>
      </c>
      <c r="E5" s="64">
        <v>0.5</v>
      </c>
      <c r="F5" s="64">
        <v>0.5</v>
      </c>
      <c r="G5" s="62">
        <v>60</v>
      </c>
      <c r="H5" s="65">
        <f>ROUND((G$5*E$5)-C5,0)</f>
        <v>22</v>
      </c>
      <c r="I5" s="65">
        <f>ROUND((G$5*F$5),0)</f>
        <v>30</v>
      </c>
      <c r="J5" s="66">
        <f>(D$5*E$5)/(H5-1)</f>
        <v>238095.23809523811</v>
      </c>
      <c r="K5" s="67">
        <f>((D$5*2)/J5)^0.5</f>
        <v>9.1651513899116797</v>
      </c>
      <c r="L5" s="78">
        <f t="shared" ref="L5:L10" si="1">ROUND((I5+K5),0)</f>
        <v>39</v>
      </c>
      <c r="M5" s="68">
        <f t="shared" si="0"/>
        <v>2.564102564102564E-2</v>
      </c>
    </row>
    <row r="6" spans="1:13" x14ac:dyDescent="0.25">
      <c r="A6" s="60" t="s">
        <v>88</v>
      </c>
      <c r="B6" s="61">
        <f>'Tasa de Capitalizacion'!$D$18</f>
        <v>8</v>
      </c>
      <c r="C6" s="62">
        <f>IF(B6&lt;=25,B6,"25")</f>
        <v>8</v>
      </c>
      <c r="D6" s="63">
        <v>10000000</v>
      </c>
      <c r="E6" s="64">
        <v>0.45</v>
      </c>
      <c r="F6" s="64">
        <v>0.55000000000000004</v>
      </c>
      <c r="G6" s="62">
        <v>60</v>
      </c>
      <c r="H6" s="65">
        <f>ROUND((G$6*E$6)-C6,0)</f>
        <v>19</v>
      </c>
      <c r="I6" s="65">
        <f>ROUND((G$6*F$6),0)</f>
        <v>33</v>
      </c>
      <c r="J6" s="66">
        <f>(D$6*E$6)/(H6-1)</f>
        <v>250000</v>
      </c>
      <c r="K6" s="67">
        <f>((D$6*2)/J6)^0.5</f>
        <v>8.9442719099991592</v>
      </c>
      <c r="L6" s="78">
        <f t="shared" si="1"/>
        <v>42</v>
      </c>
      <c r="M6" s="68">
        <f t="shared" si="0"/>
        <v>2.3809523809523808E-2</v>
      </c>
    </row>
    <row r="7" spans="1:13" x14ac:dyDescent="0.25">
      <c r="A7" s="60" t="s">
        <v>89</v>
      </c>
      <c r="B7" s="61">
        <f>'Tasa de Capitalizacion'!$D$18</f>
        <v>8</v>
      </c>
      <c r="C7" s="62">
        <f>IF(B7&lt;=35,B7,"35")</f>
        <v>8</v>
      </c>
      <c r="D7" s="63">
        <v>10000000</v>
      </c>
      <c r="E7" s="64">
        <v>0.6</v>
      </c>
      <c r="F7" s="64">
        <v>0.4</v>
      </c>
      <c r="G7" s="62">
        <v>70</v>
      </c>
      <c r="H7" s="65">
        <f>ROUND((G$7*E$7)-C7,0)</f>
        <v>34</v>
      </c>
      <c r="I7" s="65">
        <f>ROUND((G$7*F$7),0)</f>
        <v>28</v>
      </c>
      <c r="J7" s="66">
        <f>(D$7*E$7)/(H7-1)</f>
        <v>181818.18181818182</v>
      </c>
      <c r="K7" s="67">
        <f>((D$7*2)/J7)^0.5</f>
        <v>10.488088481701515</v>
      </c>
      <c r="L7" s="78">
        <f t="shared" si="1"/>
        <v>38</v>
      </c>
      <c r="M7" s="68">
        <f t="shared" si="0"/>
        <v>2.6315789473684209E-2</v>
      </c>
    </row>
    <row r="8" spans="1:13" x14ac:dyDescent="0.25">
      <c r="A8" s="60" t="s">
        <v>90</v>
      </c>
      <c r="B8" s="61">
        <f>'Tasa de Capitalizacion'!$D$18</f>
        <v>8</v>
      </c>
      <c r="C8" s="62">
        <f>IF(B8&lt;=28,B8,"28")</f>
        <v>8</v>
      </c>
      <c r="D8" s="63">
        <v>10000000</v>
      </c>
      <c r="E8" s="64">
        <v>0.6</v>
      </c>
      <c r="F8" s="64">
        <v>0.4</v>
      </c>
      <c r="G8" s="62">
        <v>60</v>
      </c>
      <c r="H8" s="65">
        <f>ROUND((G$8*E$8)-C8,0)</f>
        <v>28</v>
      </c>
      <c r="I8" s="65">
        <f>ROUND((G$8*F$8),0)</f>
        <v>24</v>
      </c>
      <c r="J8" s="66">
        <f>(D$8*E$8)/(H8-1)</f>
        <v>222222.22222222222</v>
      </c>
      <c r="K8" s="67">
        <f>((D$8*2)/J8)^0.5</f>
        <v>9.4868329805051381</v>
      </c>
      <c r="L8" s="78">
        <f t="shared" si="1"/>
        <v>33</v>
      </c>
      <c r="M8" s="68">
        <f t="shared" si="0"/>
        <v>3.0303030303030304E-2</v>
      </c>
    </row>
    <row r="9" spans="1:13" x14ac:dyDescent="0.25">
      <c r="A9" s="60" t="s">
        <v>91</v>
      </c>
      <c r="B9" s="61">
        <f>'Tasa de Capitalizacion'!$D$18</f>
        <v>8</v>
      </c>
      <c r="C9" s="62">
        <f>IF(B9&lt;=34,B9,"34")</f>
        <v>8</v>
      </c>
      <c r="D9" s="63">
        <v>10000000</v>
      </c>
      <c r="E9" s="64">
        <v>0.6</v>
      </c>
      <c r="F9" s="64">
        <v>0.4</v>
      </c>
      <c r="G9" s="62">
        <v>60</v>
      </c>
      <c r="H9" s="65">
        <f>ROUND((G$9*E$9)-C9,0)</f>
        <v>28</v>
      </c>
      <c r="I9" s="65">
        <f>ROUND((G$9*F$9),0)</f>
        <v>24</v>
      </c>
      <c r="J9" s="66">
        <f>(D$9*E$9)/(H9-1)</f>
        <v>222222.22222222222</v>
      </c>
      <c r="K9" s="67">
        <f>((D$9*2)/J9)^0.5</f>
        <v>9.4868329805051381</v>
      </c>
      <c r="L9" s="78">
        <f t="shared" si="1"/>
        <v>33</v>
      </c>
      <c r="M9" s="68">
        <f t="shared" si="0"/>
        <v>3.0303030303030304E-2</v>
      </c>
    </row>
    <row r="10" spans="1:13" x14ac:dyDescent="0.25">
      <c r="A10" s="60" t="s">
        <v>92</v>
      </c>
      <c r="B10" s="61">
        <f>'Tasa de Capitalizacion'!$D$18</f>
        <v>8</v>
      </c>
      <c r="C10" s="62">
        <f>IF(B10&lt;=31,B10,"31")</f>
        <v>8</v>
      </c>
      <c r="D10" s="63">
        <v>10000000</v>
      </c>
      <c r="E10" s="64">
        <v>0.55000000000000004</v>
      </c>
      <c r="F10" s="64">
        <v>0.45</v>
      </c>
      <c r="G10" s="62">
        <v>60</v>
      </c>
      <c r="H10" s="65">
        <f>ROUND((G$10*E$10)-C10,0)</f>
        <v>25</v>
      </c>
      <c r="I10" s="65">
        <f>ROUND((G$10*F$10),0)</f>
        <v>27</v>
      </c>
      <c r="J10" s="66">
        <f>(D$10*E$10)/(H10-1)</f>
        <v>229166.66666666666</v>
      </c>
      <c r="K10" s="67">
        <f>((D$10*2)/J10)^0.5</f>
        <v>9.3419873299382754</v>
      </c>
      <c r="L10" s="78">
        <f t="shared" si="1"/>
        <v>36</v>
      </c>
      <c r="M10" s="68">
        <f t="shared" si="0"/>
        <v>2.7777777777777776E-2</v>
      </c>
    </row>
    <row r="11" spans="1:13" x14ac:dyDescent="0.25">
      <c r="A11" s="60" t="s">
        <v>93</v>
      </c>
      <c r="B11" s="61">
        <f>'Tasa de Capitalizacion'!$D$18</f>
        <v>8</v>
      </c>
      <c r="C11" s="62">
        <f>IF(B11&lt;=47,B11,"47")</f>
        <v>8</v>
      </c>
      <c r="D11" s="63">
        <v>10000000</v>
      </c>
      <c r="E11" s="64">
        <v>0.7</v>
      </c>
      <c r="F11" s="64">
        <v>0.3</v>
      </c>
      <c r="G11" s="62">
        <v>70</v>
      </c>
      <c r="H11" s="65">
        <f>ROUND((G$11*E$11)-C11,0)</f>
        <v>41</v>
      </c>
      <c r="I11" s="65">
        <f>ROUND((G$11*F$11),0)</f>
        <v>21</v>
      </c>
      <c r="J11" s="66">
        <f>(D$11*E$11)/(H11-1)</f>
        <v>175000</v>
      </c>
      <c r="K11" s="67">
        <f>((D$11*2)/J11)^0.5</f>
        <v>10.690449676496975</v>
      </c>
      <c r="L11" s="78">
        <f>ROUND((I11+K11),0)</f>
        <v>32</v>
      </c>
      <c r="M11" s="68">
        <f>1/L11</f>
        <v>3.125E-2</v>
      </c>
    </row>
    <row r="12" spans="1:13" x14ac:dyDescent="0.25">
      <c r="A12" s="60"/>
      <c r="B12" s="61"/>
      <c r="C12" s="62"/>
      <c r="D12" s="63"/>
      <c r="E12" s="64"/>
      <c r="F12" s="64"/>
      <c r="G12" s="62"/>
      <c r="H12" s="65"/>
      <c r="I12" s="65"/>
      <c r="J12" s="66"/>
      <c r="K12" s="67"/>
      <c r="L12" s="78"/>
      <c r="M12" s="68"/>
    </row>
    <row r="15" spans="1:13" x14ac:dyDescent="0.25">
      <c r="K15" s="69"/>
    </row>
  </sheetData>
  <mergeCells count="1">
    <mergeCell ref="A1:M1"/>
  </mergeCells>
  <dataValidations disablePrompts="1" count="3">
    <dataValidation allowBlank="1" showInputMessage="1" showErrorMessage="1" prompt="⅟ Fórmula para activos sin valor de rescate" sqref="K3"/>
    <dataValidation allowBlank="1" showInputMessage="1" showErrorMessage="1" prompt="Incremento en Costos de mantenimiento constantes al activo" sqref="J3"/>
    <dataValidation allowBlank="1" showInputMessage="1" showErrorMessage="1" prompt="Inversión inicial" sqref="D3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30" zoomScaleNormal="130" workbookViewId="0">
      <selection activeCell="K9" sqref="K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AU294"/>
  <sheetViews>
    <sheetView showGridLines="0" topLeftCell="A11" zoomScale="130" zoomScaleNormal="130" zoomScaleSheetLayoutView="130" workbookViewId="0">
      <selection activeCell="I41" sqref="I41"/>
    </sheetView>
  </sheetViews>
  <sheetFormatPr baseColWidth="10" defaultColWidth="9.140625" defaultRowHeight="12.75" x14ac:dyDescent="0.2"/>
  <cols>
    <col min="1" max="1" width="2.42578125" style="164" customWidth="1"/>
    <col min="2" max="2" width="6.85546875" style="164" customWidth="1"/>
    <col min="3" max="3" width="2.85546875" style="164" customWidth="1"/>
    <col min="4" max="4" width="3.42578125" style="164" customWidth="1"/>
    <col min="5" max="5" width="7" style="164" customWidth="1"/>
    <col min="6" max="6" width="2.7109375" style="164" customWidth="1"/>
    <col min="7" max="7" width="7.42578125" style="164" customWidth="1"/>
    <col min="8" max="9" width="2.7109375" style="164" customWidth="1"/>
    <col min="10" max="10" width="6.7109375" style="164" customWidth="1"/>
    <col min="11" max="11" width="2.7109375" style="164" customWidth="1"/>
    <col min="12" max="13" width="3.28515625" style="164" customWidth="1"/>
    <col min="14" max="14" width="2.7109375" style="164" customWidth="1"/>
    <col min="15" max="15" width="6.7109375" style="164" customWidth="1"/>
    <col min="16" max="16" width="2.7109375" style="164" customWidth="1"/>
    <col min="17" max="17" width="6.28515625" style="164" customWidth="1"/>
    <col min="18" max="18" width="2.7109375" style="164" customWidth="1"/>
    <col min="19" max="19" width="5.42578125" style="164" customWidth="1"/>
    <col min="20" max="20" width="2.7109375" style="164" customWidth="1"/>
    <col min="21" max="21" width="6.28515625" style="164" customWidth="1"/>
    <col min="22" max="22" width="6.7109375" style="164" customWidth="1"/>
    <col min="23" max="23" width="1" style="164" customWidth="1"/>
    <col min="24" max="24" width="5.7109375" style="164" customWidth="1"/>
    <col min="25" max="25" width="6" style="164" customWidth="1"/>
    <col min="26" max="27" width="3.7109375" style="164" customWidth="1"/>
    <col min="28" max="28" width="6.28515625" style="164" customWidth="1"/>
    <col min="29" max="29" width="6.5703125" style="164" customWidth="1"/>
    <col min="30" max="35" width="9.28515625" style="164" customWidth="1"/>
    <col min="36" max="37" width="6.7109375" style="164" customWidth="1"/>
    <col min="38" max="39" width="7.28515625" style="164" customWidth="1"/>
    <col min="40" max="49" width="9.7109375" style="164" bestFit="1" customWidth="1"/>
    <col min="50" max="59" width="9.28515625" style="164" bestFit="1" customWidth="1"/>
    <col min="60" max="16384" width="9.140625" style="164"/>
  </cols>
  <sheetData>
    <row r="1" spans="1:47" s="148" customFormat="1" ht="13.15" customHeight="1" x14ac:dyDescent="0.25">
      <c r="A1" s="146"/>
      <c r="B1" s="146"/>
      <c r="C1" s="146"/>
      <c r="D1" s="146"/>
      <c r="E1" s="146"/>
      <c r="F1" s="146"/>
      <c r="G1" s="146"/>
      <c r="H1" s="147"/>
      <c r="I1" s="147"/>
      <c r="J1" s="146"/>
      <c r="K1" s="146"/>
      <c r="L1" s="146"/>
      <c r="N1" s="149"/>
      <c r="O1" s="149"/>
      <c r="P1" s="149"/>
      <c r="Q1" s="149"/>
      <c r="R1" s="149"/>
      <c r="S1" s="149"/>
      <c r="T1" s="149"/>
      <c r="U1" s="149"/>
      <c r="W1" s="188"/>
      <c r="X1" s="189" t="str">
        <f>+'Tasa de Capitalizacion'!D2</f>
        <v>Fecha de publicación modelo:</v>
      </c>
      <c r="Y1" s="249">
        <f>+'Tasa de Capitalizacion'!E2</f>
        <v>45674</v>
      </c>
      <c r="Z1" s="250"/>
      <c r="AA1" s="250"/>
      <c r="AB1" s="250"/>
      <c r="AC1" s="250"/>
      <c r="AD1" s="150"/>
      <c r="AE1" s="150"/>
      <c r="AF1" s="150"/>
    </row>
    <row r="2" spans="1:47" s="148" customFormat="1" x14ac:dyDescent="0.25">
      <c r="A2" s="146"/>
      <c r="B2" s="146"/>
      <c r="C2" s="146"/>
      <c r="D2" s="146"/>
      <c r="E2" s="199"/>
      <c r="F2" s="146"/>
      <c r="G2" s="146"/>
      <c r="H2" s="147"/>
      <c r="I2" s="147"/>
      <c r="J2" s="146"/>
      <c r="K2" s="146"/>
      <c r="L2" s="146"/>
      <c r="N2" s="149"/>
      <c r="O2" s="149"/>
      <c r="P2" s="149"/>
      <c r="Q2" s="149"/>
      <c r="R2" s="149"/>
      <c r="S2" s="149"/>
      <c r="T2" s="149"/>
      <c r="U2" s="149"/>
      <c r="V2" s="248"/>
      <c r="W2" s="248"/>
      <c r="X2" s="248"/>
      <c r="Y2" s="249"/>
      <c r="Z2" s="250"/>
      <c r="AA2" s="250"/>
      <c r="AB2" s="250"/>
      <c r="AC2" s="250"/>
      <c r="AD2" s="150"/>
      <c r="AE2" s="150"/>
      <c r="AF2" s="150"/>
    </row>
    <row r="3" spans="1:47" s="148" customFormat="1" x14ac:dyDescent="0.25">
      <c r="A3" s="146"/>
      <c r="B3" s="146"/>
      <c r="C3" s="146"/>
      <c r="D3" s="146"/>
      <c r="E3" s="146"/>
      <c r="F3" s="146"/>
      <c r="G3" s="146"/>
      <c r="H3" s="147"/>
      <c r="I3" s="147"/>
      <c r="J3" s="146"/>
      <c r="K3" s="146"/>
      <c r="L3" s="146"/>
      <c r="N3" s="149"/>
      <c r="O3" s="149"/>
      <c r="P3" s="149"/>
      <c r="Q3" s="149"/>
      <c r="R3" s="149"/>
      <c r="S3" s="149"/>
      <c r="T3" s="149"/>
      <c r="U3" s="149"/>
      <c r="V3" s="248"/>
      <c r="W3" s="248"/>
      <c r="X3" s="248"/>
      <c r="Y3" s="249"/>
      <c r="Z3" s="250"/>
      <c r="AA3" s="250"/>
      <c r="AB3" s="250"/>
      <c r="AC3" s="250"/>
      <c r="AD3" s="150"/>
      <c r="AE3" s="150"/>
      <c r="AF3" s="150"/>
    </row>
    <row r="4" spans="1:47" s="148" customFormat="1" x14ac:dyDescent="0.25">
      <c r="A4" s="146"/>
      <c r="B4" s="146"/>
      <c r="C4" s="146"/>
      <c r="D4" s="146"/>
      <c r="E4" s="146"/>
      <c r="F4" s="146"/>
      <c r="G4" s="146"/>
      <c r="H4" s="147"/>
      <c r="I4" s="147"/>
      <c r="J4" s="146"/>
      <c r="K4" s="146"/>
      <c r="L4" s="146"/>
      <c r="M4" s="151"/>
      <c r="N4" s="151"/>
      <c r="O4" s="146"/>
      <c r="P4" s="146"/>
      <c r="Q4" s="152"/>
      <c r="R4" s="152"/>
      <c r="S4" s="152"/>
      <c r="T4" s="152"/>
      <c r="U4" s="153"/>
      <c r="V4" s="248"/>
      <c r="W4" s="248"/>
      <c r="X4" s="248"/>
      <c r="Y4" s="249"/>
      <c r="Z4" s="250"/>
      <c r="AA4" s="250"/>
      <c r="AB4" s="250"/>
      <c r="AC4" s="250"/>
      <c r="AD4" s="150"/>
      <c r="AE4" s="150"/>
      <c r="AF4" s="150"/>
    </row>
    <row r="5" spans="1:47" s="152" customFormat="1" x14ac:dyDescent="0.25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AC5" s="154"/>
    </row>
    <row r="6" spans="1:47" s="152" customFormat="1" ht="11.25" hidden="1" x14ac:dyDescent="0.25">
      <c r="A6" s="155"/>
      <c r="B6" s="155"/>
      <c r="C6" s="155"/>
      <c r="D6" s="155"/>
      <c r="E6" s="155"/>
      <c r="F6" s="155"/>
      <c r="G6" s="155"/>
      <c r="H6" s="156"/>
      <c r="I6" s="156"/>
      <c r="J6" s="157"/>
      <c r="K6" s="157"/>
      <c r="L6" s="157"/>
      <c r="M6" s="156"/>
      <c r="N6" s="156"/>
      <c r="O6" s="156"/>
      <c r="P6" s="156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8"/>
    </row>
    <row r="7" spans="1:47" s="152" customFormat="1" ht="11.25" hidden="1" x14ac:dyDescent="0.25">
      <c r="A7" s="155"/>
      <c r="B7" s="155"/>
      <c r="C7" s="155"/>
      <c r="D7" s="155"/>
      <c r="E7" s="155"/>
      <c r="F7" s="155"/>
      <c r="G7" s="155"/>
      <c r="H7" s="156"/>
      <c r="I7" s="156"/>
      <c r="J7" s="157"/>
      <c r="K7" s="157"/>
      <c r="L7" s="157"/>
      <c r="M7" s="156"/>
      <c r="N7" s="156"/>
      <c r="O7" s="156"/>
      <c r="P7" s="156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8"/>
    </row>
    <row r="8" spans="1:47" s="152" customFormat="1" ht="11.25" hidden="1" x14ac:dyDescent="0.2">
      <c r="A8" s="159"/>
      <c r="B8" s="155"/>
      <c r="C8" s="155"/>
      <c r="D8" s="155"/>
      <c r="E8" s="155"/>
      <c r="F8" s="155"/>
      <c r="G8" s="155"/>
      <c r="H8" s="156"/>
      <c r="I8" s="156"/>
      <c r="J8" s="157"/>
      <c r="K8" s="157"/>
      <c r="L8" s="157"/>
      <c r="M8" s="156"/>
      <c r="N8" s="156"/>
      <c r="O8" s="156"/>
      <c r="P8" s="156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8"/>
    </row>
    <row r="9" spans="1:47" s="152" customFormat="1" ht="3.95" customHeight="1" x14ac:dyDescent="0.25">
      <c r="H9" s="160"/>
      <c r="I9" s="160"/>
      <c r="J9" s="161"/>
      <c r="K9" s="161"/>
      <c r="L9" s="161"/>
      <c r="M9" s="160"/>
      <c r="N9" s="160"/>
      <c r="O9" s="160"/>
      <c r="P9" s="160"/>
    </row>
    <row r="10" spans="1:47" s="148" customFormat="1" ht="2.4500000000000002" customHeight="1" x14ac:dyDescent="0.25">
      <c r="A10" s="251"/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</row>
    <row r="11" spans="1:47" s="148" customFormat="1" ht="13.15" customHeight="1" x14ac:dyDescent="0.25">
      <c r="A11" s="252"/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</row>
    <row r="12" spans="1:47" s="148" customFormat="1" ht="13.9" customHeight="1" x14ac:dyDescent="0.25">
      <c r="A12" s="252"/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</row>
    <row r="13" spans="1:47" s="162" customFormat="1" ht="15.75" x14ac:dyDescent="0.25">
      <c r="A13" s="253" t="s">
        <v>180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</row>
    <row r="14" spans="1:47" s="165" customFormat="1" ht="20.45" customHeight="1" x14ac:dyDescent="0.2">
      <c r="A14" s="254" t="s">
        <v>131</v>
      </c>
      <c r="B14" s="254"/>
      <c r="C14" s="254"/>
      <c r="D14" s="254"/>
      <c r="E14" s="254"/>
      <c r="F14" s="254"/>
      <c r="G14" s="254"/>
      <c r="H14" s="254"/>
      <c r="I14" s="254"/>
      <c r="J14" s="254"/>
      <c r="K14" s="163"/>
      <c r="L14" s="163"/>
      <c r="M14" s="164"/>
      <c r="N14" s="164"/>
      <c r="O14" s="164"/>
      <c r="Q14" s="166" t="s">
        <v>181</v>
      </c>
      <c r="R14" s="166"/>
      <c r="S14" s="166"/>
      <c r="T14" s="166"/>
      <c r="U14" s="166"/>
      <c r="V14" s="164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</row>
    <row r="15" spans="1:47" s="165" customFormat="1" ht="12.6" customHeight="1" x14ac:dyDescent="0.15">
      <c r="A15" s="266" t="s">
        <v>63</v>
      </c>
      <c r="B15" s="266"/>
      <c r="C15" s="266"/>
      <c r="D15" s="266"/>
      <c r="E15" s="266"/>
      <c r="F15" s="266"/>
      <c r="G15" s="267"/>
      <c r="H15" s="268" t="s">
        <v>132</v>
      </c>
      <c r="I15" s="266"/>
      <c r="J15" s="169" t="s">
        <v>133</v>
      </c>
      <c r="K15" s="268" t="s">
        <v>67</v>
      </c>
      <c r="L15" s="266"/>
      <c r="M15" s="266"/>
      <c r="N15" s="269" t="s">
        <v>22</v>
      </c>
      <c r="O15" s="269"/>
      <c r="Q15" s="266" t="s">
        <v>63</v>
      </c>
      <c r="R15" s="266"/>
      <c r="S15" s="170" t="s">
        <v>134</v>
      </c>
      <c r="T15" s="170"/>
      <c r="U15" s="170"/>
      <c r="V15" s="168" t="s">
        <v>135</v>
      </c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</row>
    <row r="16" spans="1:47" s="165" customFormat="1" ht="12.6" customHeight="1" x14ac:dyDescent="0.15">
      <c r="A16" s="117" t="s">
        <v>109</v>
      </c>
      <c r="B16" s="117"/>
      <c r="C16" s="117"/>
      <c r="D16" s="117"/>
      <c r="E16" s="117"/>
      <c r="F16" s="117"/>
      <c r="G16" s="117"/>
      <c r="H16" s="255" t="s">
        <v>136</v>
      </c>
      <c r="I16" s="256"/>
      <c r="J16" s="171">
        <f>E29</f>
        <v>8.5401536755357554E-2</v>
      </c>
      <c r="K16" s="257">
        <f>+$E$27</f>
        <v>4.3998465238327844E-2</v>
      </c>
      <c r="L16" s="258"/>
      <c r="M16" s="258"/>
      <c r="N16" s="259">
        <f>IF(((1+J16)-(1+K16))/(1+K16)&lt;0,0,((1+J16)-(1+K16))/(1+K16))</f>
        <v>3.9658172780529966E-2</v>
      </c>
      <c r="O16" s="259"/>
      <c r="Q16" s="260" t="s">
        <v>137</v>
      </c>
      <c r="R16" s="260"/>
      <c r="S16" s="172" t="s">
        <v>138</v>
      </c>
      <c r="T16" s="172"/>
      <c r="U16" s="172"/>
      <c r="V16" s="172">
        <f>+N16</f>
        <v>3.9658172780529966E-2</v>
      </c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</row>
    <row r="17" spans="1:47" ht="12.6" customHeight="1" x14ac:dyDescent="0.2">
      <c r="A17" s="173" t="s">
        <v>110</v>
      </c>
      <c r="B17" s="173"/>
      <c r="C17" s="173"/>
      <c r="D17" s="173"/>
      <c r="E17" s="173"/>
      <c r="F17" s="173"/>
      <c r="G17" s="173"/>
      <c r="H17" s="261" t="s">
        <v>139</v>
      </c>
      <c r="I17" s="262"/>
      <c r="J17" s="174">
        <f>E28</f>
        <v>6.2379290508149617E-2</v>
      </c>
      <c r="K17" s="263">
        <f>+$E$27</f>
        <v>4.3998465238327844E-2</v>
      </c>
      <c r="L17" s="264"/>
      <c r="M17" s="264"/>
      <c r="N17" s="259">
        <f>IF(((1+J17)-(1+K17))/(1+K17)&lt;0,0,((1+J17)-(1+K17))/(1+K17))</f>
        <v>1.7606180355471915E-2</v>
      </c>
      <c r="O17" s="259"/>
      <c r="Q17" s="265" t="s">
        <v>140</v>
      </c>
      <c r="R17" s="265"/>
      <c r="S17" s="175" t="s">
        <v>141</v>
      </c>
      <c r="T17" s="175"/>
      <c r="U17" s="175"/>
      <c r="V17" s="175">
        <f>+N17</f>
        <v>1.7606180355471915E-2</v>
      </c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</row>
    <row r="18" spans="1:47" ht="12.6" customHeight="1" x14ac:dyDescent="0.2">
      <c r="A18" s="176" t="s">
        <v>130</v>
      </c>
      <c r="B18" s="176"/>
      <c r="C18" s="176"/>
      <c r="D18" s="176"/>
      <c r="E18" s="176"/>
      <c r="F18" s="176"/>
      <c r="G18" s="176"/>
      <c r="H18" s="270" t="s">
        <v>142</v>
      </c>
      <c r="I18" s="271"/>
      <c r="J18" s="177" t="s">
        <v>143</v>
      </c>
      <c r="K18" s="272" t="s">
        <v>143</v>
      </c>
      <c r="L18" s="273"/>
      <c r="M18" s="273"/>
      <c r="N18" s="274">
        <f>+'Indicadores para avaluos'!D32</f>
        <v>1.19</v>
      </c>
      <c r="O18" s="275"/>
      <c r="Q18" s="260" t="s">
        <v>144</v>
      </c>
      <c r="R18" s="260"/>
      <c r="S18" s="172" t="s">
        <v>145</v>
      </c>
      <c r="T18" s="172"/>
      <c r="U18" s="172"/>
      <c r="V18" s="172">
        <f>+V16-V17</f>
        <v>2.2051992425058051E-2</v>
      </c>
      <c r="Y18" s="191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</row>
    <row r="19" spans="1:47" ht="12.6" customHeight="1" x14ac:dyDescent="0.2">
      <c r="A19" s="173" t="s">
        <v>146</v>
      </c>
      <c r="B19" s="173"/>
      <c r="C19" s="173"/>
      <c r="D19" s="173"/>
      <c r="E19" s="173"/>
      <c r="F19" s="173"/>
      <c r="G19" s="173"/>
      <c r="H19" s="261" t="s">
        <v>147</v>
      </c>
      <c r="I19" s="262"/>
      <c r="J19" s="174">
        <f>+L29</f>
        <v>0.110987980079681</v>
      </c>
      <c r="K19" s="263">
        <f>+L27</f>
        <v>4.2123393743437321E-2</v>
      </c>
      <c r="L19" s="264"/>
      <c r="M19" s="264"/>
      <c r="N19" s="259">
        <f>IF(((1+J19)-(1+K19))/(1+K19)&lt;0,0,((1+J19)-(1+K19))/(1+K19))</f>
        <v>6.6081029127341054E-2</v>
      </c>
      <c r="O19" s="259"/>
      <c r="Q19" s="276" t="s">
        <v>148</v>
      </c>
      <c r="R19" s="276"/>
      <c r="S19" s="178" t="s">
        <v>127</v>
      </c>
      <c r="T19" s="178"/>
      <c r="U19" s="178"/>
      <c r="V19" s="179">
        <f>+N18</f>
        <v>1.19</v>
      </c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</row>
    <row r="20" spans="1:47" ht="12.6" customHeight="1" x14ac:dyDescent="0.2">
      <c r="A20" s="117" t="s">
        <v>149</v>
      </c>
      <c r="B20" s="117"/>
      <c r="C20" s="117"/>
      <c r="D20" s="117"/>
      <c r="E20" s="117"/>
      <c r="F20" s="117"/>
      <c r="G20" s="117"/>
      <c r="H20" s="255" t="s">
        <v>150</v>
      </c>
      <c r="I20" s="256"/>
      <c r="J20" s="171" t="s">
        <v>143</v>
      </c>
      <c r="K20" s="257" t="s">
        <v>143</v>
      </c>
      <c r="L20" s="258"/>
      <c r="M20" s="258"/>
      <c r="N20" s="259">
        <f>N19+N22</f>
        <v>0.10608102912734105</v>
      </c>
      <c r="O20" s="259"/>
      <c r="Q20" s="260" t="s">
        <v>151</v>
      </c>
      <c r="R20" s="260"/>
      <c r="S20" s="172" t="s">
        <v>152</v>
      </c>
      <c r="T20" s="172"/>
      <c r="U20" s="172"/>
      <c r="V20" s="180">
        <f>V18*V19</f>
        <v>2.624187098581908E-2</v>
      </c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</row>
    <row r="21" spans="1:47" ht="12.6" customHeight="1" x14ac:dyDescent="0.2">
      <c r="A21" s="173" t="s">
        <v>111</v>
      </c>
      <c r="B21" s="173"/>
      <c r="C21" s="173"/>
      <c r="D21" s="173"/>
      <c r="E21" s="173"/>
      <c r="F21" s="173"/>
      <c r="G21" s="173"/>
      <c r="H21" s="261"/>
      <c r="I21" s="262"/>
      <c r="J21" s="174">
        <f>+L28</f>
        <v>0.10715576923076922</v>
      </c>
      <c r="K21" s="263">
        <f>+L27</f>
        <v>4.2123393743437321E-2</v>
      </c>
      <c r="L21" s="264"/>
      <c r="M21" s="264"/>
      <c r="N21" s="259">
        <f>IF(((1+J21)-(1+K21))/(1+K21)&lt;0,0,((1+J21)-(1+K21))/(1+K21))</f>
        <v>6.2403719058380852E-2</v>
      </c>
      <c r="O21" s="259"/>
      <c r="Q21" s="216"/>
      <c r="R21" s="216"/>
      <c r="S21" s="217"/>
      <c r="T21" s="217"/>
      <c r="U21" s="218" t="s">
        <v>153</v>
      </c>
      <c r="V21" s="219">
        <f>V20+V17</f>
        <v>4.3848051341290994E-2</v>
      </c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</row>
    <row r="22" spans="1:47" ht="12.6" customHeight="1" x14ac:dyDescent="0.2">
      <c r="A22" s="176" t="s">
        <v>112</v>
      </c>
      <c r="B22" s="176"/>
      <c r="C22" s="176"/>
      <c r="D22" s="176"/>
      <c r="E22" s="176"/>
      <c r="F22" s="176"/>
      <c r="G22" s="176"/>
      <c r="H22" s="270" t="s">
        <v>154</v>
      </c>
      <c r="I22" s="271"/>
      <c r="J22" s="181">
        <f>+'Indicadores para avaluos'!D39</f>
        <v>0.04</v>
      </c>
      <c r="K22" s="277" t="s">
        <v>143</v>
      </c>
      <c r="L22" s="278"/>
      <c r="M22" s="278"/>
      <c r="N22" s="259">
        <f>+J22</f>
        <v>0.04</v>
      </c>
      <c r="O22" s="259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</row>
    <row r="23" spans="1:47" ht="12.6" customHeight="1" x14ac:dyDescent="0.2">
      <c r="A23" s="173" t="s">
        <v>122</v>
      </c>
      <c r="B23" s="173"/>
      <c r="C23" s="173"/>
      <c r="D23" s="173"/>
      <c r="E23" s="173"/>
      <c r="F23" s="173"/>
      <c r="G23" s="173"/>
      <c r="H23" s="261" t="s">
        <v>155</v>
      </c>
      <c r="I23" s="262"/>
      <c r="J23" s="183">
        <v>0.35</v>
      </c>
      <c r="K23" s="279" t="s">
        <v>143</v>
      </c>
      <c r="L23" s="280"/>
      <c r="M23" s="280"/>
      <c r="N23" s="259">
        <f>J23</f>
        <v>0.35</v>
      </c>
      <c r="O23" s="259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</row>
    <row r="24" spans="1:47" ht="19.899999999999999" customHeight="1" x14ac:dyDescent="0.2">
      <c r="A24" s="167" t="s">
        <v>24</v>
      </c>
      <c r="B24" s="184"/>
      <c r="C24" s="184"/>
      <c r="D24" s="184"/>
      <c r="E24" s="184"/>
      <c r="P24" s="163"/>
      <c r="Q24" s="167" t="s">
        <v>182</v>
      </c>
      <c r="R24" s="167"/>
      <c r="S24" s="167"/>
      <c r="T24" s="167"/>
      <c r="U24" s="167"/>
      <c r="V24" s="167"/>
      <c r="W24" s="167"/>
      <c r="X24" s="185"/>
      <c r="Y24" s="167"/>
      <c r="Z24" s="167"/>
      <c r="AA24" s="167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</row>
    <row r="25" spans="1:47" ht="12.6" customHeight="1" x14ac:dyDescent="0.2">
      <c r="A25" s="284" t="s">
        <v>156</v>
      </c>
      <c r="B25" s="284"/>
      <c r="C25" s="284"/>
      <c r="D25" s="284"/>
      <c r="E25" s="285">
        <f>'Indicadores para avaluos'!B29</f>
        <v>38327</v>
      </c>
      <c r="F25" s="285"/>
      <c r="G25" s="285">
        <f>+'Indicadores para avaluos'!C29</f>
        <v>45627</v>
      </c>
      <c r="H25" s="176"/>
      <c r="I25" s="284" t="s">
        <v>157</v>
      </c>
      <c r="J25" s="284"/>
      <c r="K25" s="284"/>
      <c r="L25" s="285">
        <f>'Indicadores para avaluos'!B36</f>
        <v>45262.583333333336</v>
      </c>
      <c r="M25" s="285"/>
      <c r="N25" s="285">
        <f>'Indicadores para avaluos'!C36</f>
        <v>45627</v>
      </c>
      <c r="O25" s="285"/>
      <c r="P25" s="182"/>
      <c r="Q25" s="281" t="s">
        <v>158</v>
      </c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</row>
    <row r="26" spans="1:47" ht="12.6" customHeight="1" x14ac:dyDescent="0.2">
      <c r="A26" s="284"/>
      <c r="B26" s="284"/>
      <c r="C26" s="284"/>
      <c r="D26" s="284"/>
      <c r="E26" s="285"/>
      <c r="F26" s="285"/>
      <c r="G26" s="285"/>
      <c r="H26" s="186"/>
      <c r="I26" s="284"/>
      <c r="J26" s="284"/>
      <c r="K26" s="284"/>
      <c r="L26" s="285"/>
      <c r="M26" s="285"/>
      <c r="N26" s="285"/>
      <c r="O26" s="285"/>
      <c r="P26" s="182"/>
      <c r="Q26" s="282" t="s">
        <v>159</v>
      </c>
      <c r="R26" s="267"/>
      <c r="S26" s="268" t="s">
        <v>160</v>
      </c>
      <c r="T26" s="266"/>
      <c r="U26" s="266"/>
      <c r="V26" s="268" t="s">
        <v>161</v>
      </c>
      <c r="W26" s="266"/>
      <c r="X26" s="267"/>
      <c r="Y26" s="268" t="s">
        <v>162</v>
      </c>
      <c r="Z26" s="266"/>
      <c r="AA26" s="266"/>
      <c r="AB26" s="283" t="str">
        <f>AB31</f>
        <v>APLICABLE</v>
      </c>
      <c r="AC26" s="283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</row>
    <row r="27" spans="1:47" ht="12.6" customHeight="1" x14ac:dyDescent="0.2">
      <c r="A27" s="306" t="s">
        <v>67</v>
      </c>
      <c r="B27" s="306"/>
      <c r="C27" s="306"/>
      <c r="D27" s="306"/>
      <c r="E27" s="278">
        <f>'Indicadores para avaluos'!D31</f>
        <v>4.3998465238327844E-2</v>
      </c>
      <c r="F27" s="278"/>
      <c r="G27" s="278"/>
      <c r="H27" s="187"/>
      <c r="I27" s="306" t="s">
        <v>67</v>
      </c>
      <c r="J27" s="306"/>
      <c r="K27" s="306"/>
      <c r="L27" s="278">
        <f>'Indicadores para avaluos'!D38</f>
        <v>4.2123393743437321E-2</v>
      </c>
      <c r="M27" s="278"/>
      <c r="N27" s="278"/>
      <c r="O27" s="278"/>
      <c r="P27" s="182"/>
      <c r="Q27" s="260" t="s">
        <v>163</v>
      </c>
      <c r="R27" s="307"/>
      <c r="S27" s="308">
        <v>0.6</v>
      </c>
      <c r="T27" s="309"/>
      <c r="U27" s="310"/>
      <c r="V27" s="292">
        <v>1</v>
      </c>
      <c r="W27" s="293"/>
      <c r="X27" s="294"/>
      <c r="Y27" s="295">
        <f>N20</f>
        <v>0.10608102912734105</v>
      </c>
      <c r="Z27" s="296"/>
      <c r="AA27" s="296"/>
      <c r="AB27" s="259">
        <f>S27*V27*Y27</f>
        <v>6.3648617476404629E-2</v>
      </c>
      <c r="AC27" s="259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</row>
    <row r="28" spans="1:47" ht="12.6" customHeight="1" x14ac:dyDescent="0.2">
      <c r="A28" s="297" t="s">
        <v>164</v>
      </c>
      <c r="B28" s="297"/>
      <c r="C28" s="297"/>
      <c r="D28" s="297"/>
      <c r="E28" s="298">
        <f>'Indicadores para avaluos'!D30</f>
        <v>6.2379290508149617E-2</v>
      </c>
      <c r="F28" s="298"/>
      <c r="G28" s="298"/>
      <c r="H28" s="187"/>
      <c r="I28" s="297" t="s">
        <v>164</v>
      </c>
      <c r="J28" s="297"/>
      <c r="K28" s="297"/>
      <c r="L28" s="298">
        <f>'Indicadores para avaluos'!D37</f>
        <v>0.10715576923076922</v>
      </c>
      <c r="M28" s="298"/>
      <c r="N28" s="298"/>
      <c r="O28" s="298"/>
      <c r="P28" s="182"/>
      <c r="Q28" s="276" t="s">
        <v>165</v>
      </c>
      <c r="R28" s="299"/>
      <c r="S28" s="300">
        <v>0.4</v>
      </c>
      <c r="T28" s="301"/>
      <c r="U28" s="302"/>
      <c r="V28" s="303" t="s">
        <v>166</v>
      </c>
      <c r="W28" s="304"/>
      <c r="X28" s="305"/>
      <c r="Y28" s="286">
        <f>V21</f>
        <v>4.3848051341290994E-2</v>
      </c>
      <c r="Z28" s="287"/>
      <c r="AA28" s="287"/>
      <c r="AB28" s="259">
        <f>S28*Y28</f>
        <v>1.7539220536516398E-2</v>
      </c>
      <c r="AC28" s="259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</row>
    <row r="29" spans="1:47" ht="12.6" customHeight="1" x14ac:dyDescent="0.2">
      <c r="A29" s="288" t="s">
        <v>167</v>
      </c>
      <c r="B29" s="288"/>
      <c r="C29" s="288"/>
      <c r="D29" s="288"/>
      <c r="E29" s="289">
        <f>'Indicadores para avaluos'!D29</f>
        <v>8.5401536755357554E-2</v>
      </c>
      <c r="F29" s="289"/>
      <c r="G29" s="289"/>
      <c r="H29" s="187"/>
      <c r="I29" s="288" t="s">
        <v>126</v>
      </c>
      <c r="J29" s="288"/>
      <c r="K29" s="288"/>
      <c r="L29" s="289">
        <f>'Indicadores para avaluos'!D36</f>
        <v>0.110987980079681</v>
      </c>
      <c r="M29" s="289"/>
      <c r="N29" s="289"/>
      <c r="O29" s="289"/>
      <c r="P29" s="182"/>
      <c r="Q29" s="290" t="s">
        <v>168</v>
      </c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1">
        <f>SUM(AB27:AC28)</f>
        <v>8.1187838012921024E-2</v>
      </c>
      <c r="AC29" s="291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</row>
    <row r="30" spans="1:47" ht="19.899999999999999" customHeight="1" x14ac:dyDescent="0.2">
      <c r="A30" s="167" t="s">
        <v>169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</row>
    <row r="31" spans="1:47" ht="12.6" customHeight="1" x14ac:dyDescent="0.2">
      <c r="A31" s="311" t="s">
        <v>63</v>
      </c>
      <c r="B31" s="311"/>
      <c r="C31" s="311"/>
      <c r="D31" s="311"/>
      <c r="E31" s="311"/>
      <c r="F31" s="311"/>
      <c r="G31" s="311"/>
      <c r="H31" s="312" t="s">
        <v>170</v>
      </c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3" t="s">
        <v>171</v>
      </c>
      <c r="AC31" s="313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</row>
    <row r="32" spans="1:47" ht="12.6" customHeight="1" x14ac:dyDescent="0.2">
      <c r="A32" s="311"/>
      <c r="B32" s="311"/>
      <c r="C32" s="311"/>
      <c r="D32" s="311"/>
      <c r="E32" s="311"/>
      <c r="F32" s="311"/>
      <c r="G32" s="311"/>
      <c r="H32" s="314" t="s">
        <v>172</v>
      </c>
      <c r="I32" s="314"/>
      <c r="J32" s="314"/>
      <c r="K32" s="314"/>
      <c r="L32" s="315" t="s">
        <v>173</v>
      </c>
      <c r="M32" s="316"/>
      <c r="N32" s="316"/>
      <c r="O32" s="317"/>
      <c r="P32" s="314" t="s">
        <v>174</v>
      </c>
      <c r="Q32" s="314"/>
      <c r="R32" s="314"/>
      <c r="S32" s="314" t="s">
        <v>175</v>
      </c>
      <c r="T32" s="314"/>
      <c r="U32" s="314"/>
      <c r="V32" s="314" t="s">
        <v>176</v>
      </c>
      <c r="W32" s="314"/>
      <c r="X32" s="314"/>
      <c r="Y32" s="314" t="s">
        <v>23</v>
      </c>
      <c r="Z32" s="314"/>
      <c r="AA32" s="314"/>
      <c r="AB32" s="313" t="s">
        <v>23</v>
      </c>
      <c r="AC32" s="313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</row>
    <row r="33" spans="1:47" ht="12.6" customHeight="1" x14ac:dyDescent="0.2">
      <c r="A33" s="327" t="s">
        <v>177</v>
      </c>
      <c r="B33" s="327"/>
      <c r="C33" s="327"/>
      <c r="D33" s="327"/>
      <c r="E33" s="327"/>
      <c r="F33" s="327"/>
      <c r="G33" s="327"/>
      <c r="H33" s="318">
        <f>N20</f>
        <v>0.10608102912734105</v>
      </c>
      <c r="I33" s="319"/>
      <c r="J33" s="319"/>
      <c r="K33" s="320"/>
      <c r="L33" s="318">
        <f>H33/2</f>
        <v>5.3040514563670524E-2</v>
      </c>
      <c r="M33" s="319"/>
      <c r="N33" s="319"/>
      <c r="O33" s="320"/>
      <c r="P33" s="318">
        <f>+H33/3</f>
        <v>3.5360343042447014E-2</v>
      </c>
      <c r="Q33" s="319"/>
      <c r="R33" s="320"/>
      <c r="S33" s="318">
        <f>H33/4</f>
        <v>2.6520257281835262E-2</v>
      </c>
      <c r="T33" s="319"/>
      <c r="U33" s="320"/>
      <c r="V33" s="318">
        <f>+H33/6</f>
        <v>1.7680171521223507E-2</v>
      </c>
      <c r="W33" s="319"/>
      <c r="X33" s="320"/>
      <c r="Y33" s="318">
        <f>H33/12</f>
        <v>8.8400857606117534E-3</v>
      </c>
      <c r="Z33" s="319"/>
      <c r="AA33" s="320"/>
      <c r="AB33" s="321">
        <f>HLOOKUP(AB32,H32:AA35,2,0)</f>
        <v>8.8400857606117534E-3</v>
      </c>
      <c r="AC33" s="322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</row>
    <row r="34" spans="1:47" ht="12.6" customHeight="1" x14ac:dyDescent="0.2">
      <c r="A34" s="323" t="s">
        <v>178</v>
      </c>
      <c r="B34" s="323"/>
      <c r="C34" s="323"/>
      <c r="D34" s="323"/>
      <c r="E34" s="323"/>
      <c r="F34" s="323"/>
      <c r="G34" s="323"/>
      <c r="H34" s="324">
        <f>N21</f>
        <v>6.2403719058380852E-2</v>
      </c>
      <c r="I34" s="325"/>
      <c r="J34" s="325"/>
      <c r="K34" s="326"/>
      <c r="L34" s="324">
        <f>H34/2</f>
        <v>3.1201859529190426E-2</v>
      </c>
      <c r="M34" s="325"/>
      <c r="N34" s="325"/>
      <c r="O34" s="326"/>
      <c r="P34" s="324">
        <f>+H34/3</f>
        <v>2.080123968612695E-2</v>
      </c>
      <c r="Q34" s="325"/>
      <c r="R34" s="326"/>
      <c r="S34" s="324">
        <f>H34/4</f>
        <v>1.5600929764595213E-2</v>
      </c>
      <c r="T34" s="325"/>
      <c r="U34" s="326"/>
      <c r="V34" s="324">
        <f>+H34/6</f>
        <v>1.0400619843063475E-2</v>
      </c>
      <c r="W34" s="325"/>
      <c r="X34" s="326"/>
      <c r="Y34" s="324">
        <f>H34/12</f>
        <v>5.2003099215317374E-3</v>
      </c>
      <c r="Z34" s="325"/>
      <c r="AA34" s="326"/>
      <c r="AB34" s="321">
        <f>HLOOKUP(AB32,H32:AA35,3,0)</f>
        <v>5.2003099215317374E-3</v>
      </c>
      <c r="AC34" s="322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</row>
    <row r="35" spans="1:47" ht="12.6" customHeight="1" x14ac:dyDescent="0.2">
      <c r="A35" s="327" t="s">
        <v>66</v>
      </c>
      <c r="B35" s="327"/>
      <c r="C35" s="327"/>
      <c r="D35" s="327"/>
      <c r="E35" s="327"/>
      <c r="F35" s="327"/>
      <c r="G35" s="327"/>
      <c r="H35" s="318">
        <f>AB29</f>
        <v>8.1187838012921024E-2</v>
      </c>
      <c r="I35" s="319"/>
      <c r="J35" s="319"/>
      <c r="K35" s="320"/>
      <c r="L35" s="318">
        <f>+H35/2</f>
        <v>4.0593919006460512E-2</v>
      </c>
      <c r="M35" s="319"/>
      <c r="N35" s="319"/>
      <c r="O35" s="320"/>
      <c r="P35" s="318">
        <f>+H35/3</f>
        <v>2.7062612670973676E-2</v>
      </c>
      <c r="Q35" s="319"/>
      <c r="R35" s="320"/>
      <c r="S35" s="318">
        <f>+H35/4</f>
        <v>2.0296959503230256E-2</v>
      </c>
      <c r="T35" s="319"/>
      <c r="U35" s="320"/>
      <c r="V35" s="318">
        <f>+H35/6</f>
        <v>1.3531306335486838E-2</v>
      </c>
      <c r="W35" s="319"/>
      <c r="X35" s="320"/>
      <c r="Y35" s="318">
        <f>(H35/12)</f>
        <v>6.7656531677434189E-3</v>
      </c>
      <c r="Z35" s="319"/>
      <c r="AA35" s="320"/>
      <c r="AB35" s="321">
        <f>HLOOKUP(AB32,H32:AA35,4,0)</f>
        <v>6.7656531677434189E-3</v>
      </c>
      <c r="AC35" s="322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</row>
    <row r="36" spans="1:47" ht="12.6" customHeight="1" x14ac:dyDescent="0.2">
      <c r="A36" s="323" t="s">
        <v>179</v>
      </c>
      <c r="B36" s="323"/>
      <c r="C36" s="323"/>
      <c r="D36" s="323"/>
      <c r="E36" s="323"/>
      <c r="F36" s="323"/>
      <c r="G36" s="323"/>
      <c r="H36" s="334">
        <v>12</v>
      </c>
      <c r="I36" s="335"/>
      <c r="J36" s="335"/>
      <c r="K36" s="336"/>
      <c r="L36" s="334">
        <v>6</v>
      </c>
      <c r="M36" s="335"/>
      <c r="N36" s="335"/>
      <c r="O36" s="336"/>
      <c r="P36" s="334">
        <v>4</v>
      </c>
      <c r="Q36" s="335"/>
      <c r="R36" s="336"/>
      <c r="S36" s="334">
        <v>3</v>
      </c>
      <c r="T36" s="335"/>
      <c r="U36" s="336"/>
      <c r="V36" s="334">
        <v>2</v>
      </c>
      <c r="W36" s="335"/>
      <c r="X36" s="336"/>
      <c r="Y36" s="334">
        <v>1</v>
      </c>
      <c r="Z36" s="335"/>
      <c r="AA36" s="336"/>
      <c r="AB36" s="337">
        <f>HLOOKUP(AB32,H32:AA36,5,0)</f>
        <v>1</v>
      </c>
      <c r="AC36" s="33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</row>
    <row r="37" spans="1:47" ht="12.6" customHeight="1" x14ac:dyDescent="0.2">
      <c r="A37" s="333"/>
      <c r="B37" s="333"/>
      <c r="C37" s="333"/>
      <c r="D37" s="333"/>
      <c r="E37" s="333"/>
      <c r="F37" s="333"/>
      <c r="G37" s="333"/>
      <c r="H37" s="328"/>
      <c r="I37" s="329"/>
      <c r="J37" s="329"/>
      <c r="K37" s="330"/>
      <c r="L37" s="328"/>
      <c r="M37" s="329"/>
      <c r="N37" s="329"/>
      <c r="O37" s="330"/>
      <c r="P37" s="328"/>
      <c r="Q37" s="329"/>
      <c r="R37" s="330"/>
      <c r="S37" s="328"/>
      <c r="T37" s="329"/>
      <c r="U37" s="330"/>
      <c r="V37" s="328"/>
      <c r="W37" s="329"/>
      <c r="X37" s="330"/>
      <c r="Y37" s="328"/>
      <c r="Z37" s="329"/>
      <c r="AA37" s="330"/>
      <c r="AB37" s="331"/>
      <c r="AC37" s="332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</row>
    <row r="38" spans="1:47" ht="5.45" customHeight="1" x14ac:dyDescent="0.2"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</row>
    <row r="289" spans="30:30" x14ac:dyDescent="0.2">
      <c r="AD289" s="190" t="str">
        <f>H32</f>
        <v>Anuales</v>
      </c>
    </row>
    <row r="290" spans="30:30" x14ac:dyDescent="0.2">
      <c r="AD290" s="190" t="str">
        <f>+L32</f>
        <v>Semestres</v>
      </c>
    </row>
    <row r="291" spans="30:30" x14ac:dyDescent="0.2">
      <c r="AD291" s="190" t="str">
        <f>+P32</f>
        <v>Cuatrimestres</v>
      </c>
    </row>
    <row r="292" spans="30:30" x14ac:dyDescent="0.2">
      <c r="AD292" s="190" t="str">
        <f>+S32</f>
        <v>Trimestres</v>
      </c>
    </row>
    <row r="293" spans="30:30" x14ac:dyDescent="0.2">
      <c r="AD293" s="190" t="str">
        <f>+V32</f>
        <v>Bimestres</v>
      </c>
    </row>
    <row r="294" spans="30:30" x14ac:dyDescent="0.2">
      <c r="AD294" s="190" t="str">
        <f>+Y32</f>
        <v>Mensual</v>
      </c>
    </row>
  </sheetData>
  <mergeCells count="131">
    <mergeCell ref="Y37:AA37"/>
    <mergeCell ref="AB37:AC37"/>
    <mergeCell ref="A37:G37"/>
    <mergeCell ref="H37:K37"/>
    <mergeCell ref="L37:O37"/>
    <mergeCell ref="P37:R37"/>
    <mergeCell ref="S37:U37"/>
    <mergeCell ref="V37:X37"/>
    <mergeCell ref="Y35:AA35"/>
    <mergeCell ref="AB35:AC35"/>
    <mergeCell ref="A36:G36"/>
    <mergeCell ref="H36:K36"/>
    <mergeCell ref="L36:O36"/>
    <mergeCell ref="P36:R36"/>
    <mergeCell ref="S36:U36"/>
    <mergeCell ref="V36:X36"/>
    <mergeCell ref="Y36:AA36"/>
    <mergeCell ref="AB36:AC36"/>
    <mergeCell ref="A35:G35"/>
    <mergeCell ref="H35:K35"/>
    <mergeCell ref="L35:O35"/>
    <mergeCell ref="P35:R35"/>
    <mergeCell ref="S35:U35"/>
    <mergeCell ref="V35:X35"/>
    <mergeCell ref="Y33:AA33"/>
    <mergeCell ref="AB33:AC33"/>
    <mergeCell ref="A34:G34"/>
    <mergeCell ref="H34:K34"/>
    <mergeCell ref="L34:O34"/>
    <mergeCell ref="P34:R34"/>
    <mergeCell ref="S34:U34"/>
    <mergeCell ref="V34:X34"/>
    <mergeCell ref="Y34:AA34"/>
    <mergeCell ref="AB34:AC34"/>
    <mergeCell ref="A33:G33"/>
    <mergeCell ref="H33:K33"/>
    <mergeCell ref="L33:O33"/>
    <mergeCell ref="P33:R33"/>
    <mergeCell ref="S33:U33"/>
    <mergeCell ref="V33:X33"/>
    <mergeCell ref="A31:G32"/>
    <mergeCell ref="H31:AA31"/>
    <mergeCell ref="AB31:AC31"/>
    <mergeCell ref="H32:K32"/>
    <mergeCell ref="L32:O32"/>
    <mergeCell ref="P32:R32"/>
    <mergeCell ref="S32:U32"/>
    <mergeCell ref="V32:X32"/>
    <mergeCell ref="Y32:AA32"/>
    <mergeCell ref="AB32:AC32"/>
    <mergeCell ref="Y28:AA28"/>
    <mergeCell ref="AB28:AC28"/>
    <mergeCell ref="A29:D29"/>
    <mergeCell ref="E29:G29"/>
    <mergeCell ref="I29:K29"/>
    <mergeCell ref="L29:O29"/>
    <mergeCell ref="Q29:AA29"/>
    <mergeCell ref="AB29:AC29"/>
    <mergeCell ref="V27:X27"/>
    <mergeCell ref="Y27:AA27"/>
    <mergeCell ref="AB27:AC27"/>
    <mergeCell ref="A28:D28"/>
    <mergeCell ref="E28:G28"/>
    <mergeCell ref="I28:K28"/>
    <mergeCell ref="L28:O28"/>
    <mergeCell ref="Q28:R28"/>
    <mergeCell ref="S28:U28"/>
    <mergeCell ref="V28:X28"/>
    <mergeCell ref="A27:D27"/>
    <mergeCell ref="E27:G27"/>
    <mergeCell ref="I27:K27"/>
    <mergeCell ref="L27:O27"/>
    <mergeCell ref="Q27:R27"/>
    <mergeCell ref="S27:U27"/>
    <mergeCell ref="Q25:AC25"/>
    <mergeCell ref="Q26:R26"/>
    <mergeCell ref="S26:U26"/>
    <mergeCell ref="V26:X26"/>
    <mergeCell ref="Y26:AA26"/>
    <mergeCell ref="AB26:AC26"/>
    <mergeCell ref="A25:D26"/>
    <mergeCell ref="E25:F26"/>
    <mergeCell ref="G25:G26"/>
    <mergeCell ref="I25:K26"/>
    <mergeCell ref="L25:M26"/>
    <mergeCell ref="N25:O26"/>
    <mergeCell ref="H22:I22"/>
    <mergeCell ref="K22:M22"/>
    <mergeCell ref="N22:O22"/>
    <mergeCell ref="H23:I23"/>
    <mergeCell ref="K23:M23"/>
    <mergeCell ref="N23:O23"/>
    <mergeCell ref="H20:I20"/>
    <mergeCell ref="K20:M20"/>
    <mergeCell ref="N20:O20"/>
    <mergeCell ref="Q20:R20"/>
    <mergeCell ref="H21:I21"/>
    <mergeCell ref="K21:M21"/>
    <mergeCell ref="N21:O21"/>
    <mergeCell ref="H18:I18"/>
    <mergeCell ref="K18:M18"/>
    <mergeCell ref="N18:O18"/>
    <mergeCell ref="Q18:R18"/>
    <mergeCell ref="H19:I19"/>
    <mergeCell ref="K19:M19"/>
    <mergeCell ref="N19:O19"/>
    <mergeCell ref="Q19:R19"/>
    <mergeCell ref="H16:I16"/>
    <mergeCell ref="K16:M16"/>
    <mergeCell ref="N16:O16"/>
    <mergeCell ref="Q16:R16"/>
    <mergeCell ref="H17:I17"/>
    <mergeCell ref="K17:M17"/>
    <mergeCell ref="N17:O17"/>
    <mergeCell ref="Q17:R17"/>
    <mergeCell ref="A15:G15"/>
    <mergeCell ref="H15:I15"/>
    <mergeCell ref="K15:M15"/>
    <mergeCell ref="N15:O15"/>
    <mergeCell ref="Q15:R15"/>
    <mergeCell ref="V4:X4"/>
    <mergeCell ref="Y4:AC4"/>
    <mergeCell ref="A10:AC10"/>
    <mergeCell ref="A11:AC12"/>
    <mergeCell ref="A13:AC13"/>
    <mergeCell ref="A14:J14"/>
    <mergeCell ref="Y1:AC1"/>
    <mergeCell ref="V2:X2"/>
    <mergeCell ref="Y2:AC2"/>
    <mergeCell ref="V3:X3"/>
    <mergeCell ref="Y3:AC3"/>
  </mergeCells>
  <conditionalFormatting sqref="Y1:Y4">
    <cfRule type="containsBlanks" dxfId="1" priority="1">
      <formula>LEN(TRIM(Y1))=0</formula>
    </cfRule>
  </conditionalFormatting>
  <conditionalFormatting sqref="AD1:AF4">
    <cfRule type="containsBlanks" dxfId="0" priority="2">
      <formula>LEN(TRIM(AD1))=0</formula>
    </cfRule>
  </conditionalFormatting>
  <dataValidations count="1">
    <dataValidation type="list" allowBlank="1" showInputMessage="1" showErrorMessage="1" sqref="AB32">
      <formula1>$AD$289:$AD$294</formula1>
    </dataValidation>
  </dataValidations>
  <printOptions horizontalCentered="1"/>
  <pageMargins left="0.39370078740157483" right="0.39370078740157483" top="0.39370078740157483" bottom="0.35433070866141736" header="0" footer="0.11811023622047245"/>
  <pageSetup scale="76" orientation="portrait" r:id="rId1"/>
  <headerFooter>
    <oddFooter>&amp;L&amp;8&amp;K01+033El presente documento consta de un total de &amp;N páginas, más anexo de firmas electrónicas.&amp;R&amp;8&amp;K01+034Página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8"/>
  <sheetViews>
    <sheetView topLeftCell="A9" zoomScale="85" zoomScaleNormal="85" workbookViewId="0">
      <selection activeCell="E1356" sqref="E1356"/>
    </sheetView>
  </sheetViews>
  <sheetFormatPr baseColWidth="10" defaultColWidth="8.85546875" defaultRowHeight="15" x14ac:dyDescent="0.25"/>
  <cols>
    <col min="1" max="1" width="15" customWidth="1"/>
    <col min="2" max="2" width="26.5703125" customWidth="1"/>
    <col min="3" max="3" width="30.28515625" style="42" customWidth="1"/>
    <col min="4" max="4" width="11.42578125" style="52" customWidth="1"/>
    <col min="5" max="6" width="25.5703125" style="42" customWidth="1"/>
    <col min="7" max="7" width="16.7109375" style="42" bestFit="1" customWidth="1"/>
    <col min="8" max="8" width="14.7109375" style="42" bestFit="1" customWidth="1"/>
    <col min="9" max="11" width="8.85546875" style="42"/>
    <col min="12" max="12" width="13.85546875" style="42" bestFit="1" customWidth="1"/>
    <col min="13" max="16384" width="8.85546875" style="42"/>
  </cols>
  <sheetData>
    <row r="1" spans="1:2" customFormat="1" ht="18.75" x14ac:dyDescent="0.3">
      <c r="A1" s="192" t="s">
        <v>0</v>
      </c>
    </row>
    <row r="2" spans="1:2" customFormat="1" x14ac:dyDescent="0.25"/>
    <row r="3" spans="1:2" customFormat="1" x14ac:dyDescent="0.25">
      <c r="A3" s="238" t="s">
        <v>1</v>
      </c>
    </row>
    <row r="4" spans="1:2" customFormat="1" x14ac:dyDescent="0.25">
      <c r="A4" s="193" t="s">
        <v>2</v>
      </c>
    </row>
    <row r="5" spans="1:2" customFormat="1" x14ac:dyDescent="0.25"/>
    <row r="6" spans="1:2" customFormat="1" x14ac:dyDescent="0.25">
      <c r="A6" s="238" t="s">
        <v>192</v>
      </c>
    </row>
    <row r="7" spans="1:2" customFormat="1" x14ac:dyDescent="0.25"/>
    <row r="8" spans="1:2" customFormat="1" x14ac:dyDescent="0.25"/>
    <row r="9" spans="1:2" customFormat="1" x14ac:dyDescent="0.25"/>
    <row r="10" spans="1:2" customFormat="1" ht="60" x14ac:dyDescent="0.25">
      <c r="A10" s="194" t="s">
        <v>3</v>
      </c>
      <c r="B10" s="239" t="s">
        <v>4</v>
      </c>
    </row>
    <row r="11" spans="1:2" customFormat="1" ht="30" x14ac:dyDescent="0.25">
      <c r="A11" s="194" t="s">
        <v>5</v>
      </c>
      <c r="B11" s="240" t="s">
        <v>193</v>
      </c>
    </row>
    <row r="12" spans="1:2" customFormat="1" x14ac:dyDescent="0.25">
      <c r="A12" s="194" t="s">
        <v>6</v>
      </c>
      <c r="B12" s="240" t="s">
        <v>7</v>
      </c>
    </row>
    <row r="13" spans="1:2" customFormat="1" x14ac:dyDescent="0.25">
      <c r="A13" s="194" t="s">
        <v>8</v>
      </c>
      <c r="B13" s="240" t="s">
        <v>9</v>
      </c>
    </row>
    <row r="14" spans="1:2" customFormat="1" x14ac:dyDescent="0.25">
      <c r="A14" s="194" t="s">
        <v>10</v>
      </c>
      <c r="B14" s="240" t="s">
        <v>9</v>
      </c>
    </row>
    <row r="15" spans="1:2" customFormat="1" x14ac:dyDescent="0.25">
      <c r="A15" s="194" t="s">
        <v>12</v>
      </c>
      <c r="B15" s="240"/>
    </row>
    <row r="16" spans="1:2" customFormat="1" x14ac:dyDescent="0.25">
      <c r="A16" s="194" t="s">
        <v>13</v>
      </c>
      <c r="B16" s="195"/>
    </row>
    <row r="17" spans="1:3" customFormat="1" ht="30" x14ac:dyDescent="0.25">
      <c r="A17" s="194" t="s">
        <v>14</v>
      </c>
      <c r="B17" s="240" t="s">
        <v>15</v>
      </c>
    </row>
    <row r="18" spans="1:3" customFormat="1" x14ac:dyDescent="0.25">
      <c r="A18" s="196" t="s">
        <v>16</v>
      </c>
      <c r="B18" s="197" t="s">
        <v>17</v>
      </c>
    </row>
    <row r="19" spans="1:3" x14ac:dyDescent="0.25">
      <c r="A19" s="198">
        <v>36167</v>
      </c>
      <c r="B19" s="241">
        <v>29.29</v>
      </c>
      <c r="C19" s="42">
        <v>1</v>
      </c>
    </row>
    <row r="20" spans="1:3" x14ac:dyDescent="0.25">
      <c r="A20" s="198">
        <v>36174</v>
      </c>
      <c r="B20" s="241">
        <v>32.71</v>
      </c>
      <c r="C20" s="42">
        <f>+C19+1</f>
        <v>2</v>
      </c>
    </row>
    <row r="21" spans="1:3" x14ac:dyDescent="0.25">
      <c r="A21" s="198">
        <v>36181</v>
      </c>
      <c r="B21" s="241">
        <v>33.409999999999997</v>
      </c>
      <c r="C21" s="42">
        <f t="shared" ref="C21:C84" si="0">+C20+1</f>
        <v>3</v>
      </c>
    </row>
    <row r="22" spans="1:3" x14ac:dyDescent="0.25">
      <c r="A22" s="198">
        <v>36188</v>
      </c>
      <c r="B22" s="241">
        <v>33.090000000000003</v>
      </c>
      <c r="C22" s="42">
        <f t="shared" si="0"/>
        <v>4</v>
      </c>
    </row>
    <row r="23" spans="1:3" x14ac:dyDescent="0.25">
      <c r="A23" s="198">
        <v>36195</v>
      </c>
      <c r="B23" s="241">
        <v>30.92</v>
      </c>
      <c r="C23" s="42">
        <f t="shared" si="0"/>
        <v>5</v>
      </c>
    </row>
    <row r="24" spans="1:3" x14ac:dyDescent="0.25">
      <c r="A24" s="198">
        <v>36202</v>
      </c>
      <c r="B24" s="241">
        <v>30.39</v>
      </c>
      <c r="C24" s="42">
        <f t="shared" si="0"/>
        <v>6</v>
      </c>
    </row>
    <row r="25" spans="1:3" x14ac:dyDescent="0.25">
      <c r="A25" s="198">
        <v>36209</v>
      </c>
      <c r="B25" s="241">
        <v>27</v>
      </c>
      <c r="C25" s="42">
        <f t="shared" si="0"/>
        <v>7</v>
      </c>
    </row>
    <row r="26" spans="1:3" x14ac:dyDescent="0.25">
      <c r="A26" s="198">
        <v>36216</v>
      </c>
      <c r="B26" s="241">
        <v>26.71</v>
      </c>
      <c r="C26" s="42">
        <f t="shared" si="0"/>
        <v>8</v>
      </c>
    </row>
    <row r="27" spans="1:3" x14ac:dyDescent="0.25">
      <c r="A27" s="198">
        <v>36223</v>
      </c>
      <c r="B27" s="241">
        <v>26.78</v>
      </c>
      <c r="C27" s="42">
        <f t="shared" si="0"/>
        <v>9</v>
      </c>
    </row>
    <row r="28" spans="1:3" x14ac:dyDescent="0.25">
      <c r="A28" s="198">
        <v>36230</v>
      </c>
      <c r="B28" s="241">
        <v>24.39</v>
      </c>
      <c r="C28" s="42">
        <f t="shared" si="0"/>
        <v>10</v>
      </c>
    </row>
    <row r="29" spans="1:3" x14ac:dyDescent="0.25">
      <c r="A29" s="198">
        <v>36237</v>
      </c>
      <c r="B29" s="241">
        <v>22.17</v>
      </c>
      <c r="C29" s="42">
        <f t="shared" si="0"/>
        <v>11</v>
      </c>
    </row>
    <row r="30" spans="1:3" x14ac:dyDescent="0.25">
      <c r="A30" s="198">
        <v>36244</v>
      </c>
      <c r="B30" s="241">
        <v>22.35</v>
      </c>
      <c r="C30" s="42">
        <f t="shared" si="0"/>
        <v>12</v>
      </c>
    </row>
    <row r="31" spans="1:3" x14ac:dyDescent="0.25">
      <c r="A31" s="198">
        <v>36250</v>
      </c>
      <c r="B31" s="241">
        <v>21.67</v>
      </c>
      <c r="C31" s="42">
        <f t="shared" si="0"/>
        <v>13</v>
      </c>
    </row>
    <row r="32" spans="1:3" x14ac:dyDescent="0.25">
      <c r="A32" s="198">
        <v>36258</v>
      </c>
      <c r="B32" s="241">
        <v>20.47</v>
      </c>
      <c r="C32" s="42">
        <f t="shared" si="0"/>
        <v>14</v>
      </c>
    </row>
    <row r="33" spans="1:3" x14ac:dyDescent="0.25">
      <c r="A33" s="198">
        <v>36265</v>
      </c>
      <c r="B33" s="241">
        <v>20.75</v>
      </c>
      <c r="C33" s="42">
        <f t="shared" si="0"/>
        <v>15</v>
      </c>
    </row>
    <row r="34" spans="1:3" x14ac:dyDescent="0.25">
      <c r="A34" s="198">
        <v>36272</v>
      </c>
      <c r="B34" s="241">
        <v>19.989999999999998</v>
      </c>
      <c r="C34" s="42">
        <f t="shared" si="0"/>
        <v>16</v>
      </c>
    </row>
    <row r="35" spans="1:3" x14ac:dyDescent="0.25">
      <c r="A35" s="198">
        <v>36279</v>
      </c>
      <c r="B35" s="241">
        <v>19.93</v>
      </c>
      <c r="C35" s="42">
        <f t="shared" si="0"/>
        <v>17</v>
      </c>
    </row>
    <row r="36" spans="1:3" x14ac:dyDescent="0.25">
      <c r="A36" s="198">
        <v>36286</v>
      </c>
      <c r="B36" s="241">
        <v>19.93</v>
      </c>
      <c r="C36" s="42">
        <f t="shared" si="0"/>
        <v>18</v>
      </c>
    </row>
    <row r="37" spans="1:3" x14ac:dyDescent="0.25">
      <c r="A37" s="198">
        <v>36293</v>
      </c>
      <c r="B37" s="241">
        <v>20.079999999999998</v>
      </c>
      <c r="C37" s="42">
        <f t="shared" si="0"/>
        <v>19</v>
      </c>
    </row>
    <row r="38" spans="1:3" x14ac:dyDescent="0.25">
      <c r="A38" s="198">
        <v>36300</v>
      </c>
      <c r="B38" s="241">
        <v>19.75</v>
      </c>
      <c r="C38" s="42">
        <f t="shared" si="0"/>
        <v>20</v>
      </c>
    </row>
    <row r="39" spans="1:3" x14ac:dyDescent="0.25">
      <c r="A39" s="198">
        <v>36307</v>
      </c>
      <c r="B39" s="241">
        <v>19.8</v>
      </c>
      <c r="C39" s="42">
        <f t="shared" si="0"/>
        <v>21</v>
      </c>
    </row>
    <row r="40" spans="1:3" x14ac:dyDescent="0.25">
      <c r="A40" s="198">
        <v>36314</v>
      </c>
      <c r="B40" s="241">
        <v>20.67</v>
      </c>
      <c r="C40" s="42">
        <f t="shared" si="0"/>
        <v>22</v>
      </c>
    </row>
    <row r="41" spans="1:3" x14ac:dyDescent="0.25">
      <c r="A41" s="198">
        <v>36321</v>
      </c>
      <c r="B41" s="241">
        <v>21.44</v>
      </c>
      <c r="C41" s="42">
        <f t="shared" si="0"/>
        <v>23</v>
      </c>
    </row>
    <row r="42" spans="1:3" x14ac:dyDescent="0.25">
      <c r="A42" s="198">
        <v>36328</v>
      </c>
      <c r="B42" s="241">
        <v>21.72</v>
      </c>
      <c r="C42" s="42">
        <f t="shared" si="0"/>
        <v>24</v>
      </c>
    </row>
    <row r="43" spans="1:3" x14ac:dyDescent="0.25">
      <c r="A43" s="198">
        <v>36335</v>
      </c>
      <c r="B43" s="241">
        <v>20.48</v>
      </c>
      <c r="C43" s="42">
        <f t="shared" si="0"/>
        <v>25</v>
      </c>
    </row>
    <row r="44" spans="1:3" x14ac:dyDescent="0.25">
      <c r="A44" s="198">
        <v>36342</v>
      </c>
      <c r="B44" s="241">
        <v>20.420000000000002</v>
      </c>
      <c r="C44" s="42">
        <f t="shared" si="0"/>
        <v>26</v>
      </c>
    </row>
    <row r="45" spans="1:3" x14ac:dyDescent="0.25">
      <c r="A45" s="198">
        <v>36349</v>
      </c>
      <c r="B45" s="241">
        <v>19.649999999999999</v>
      </c>
      <c r="C45" s="42">
        <f t="shared" si="0"/>
        <v>27</v>
      </c>
    </row>
    <row r="46" spans="1:3" x14ac:dyDescent="0.25">
      <c r="A46" s="198">
        <v>36356</v>
      </c>
      <c r="B46" s="241">
        <v>19.66</v>
      </c>
      <c r="C46" s="42">
        <f t="shared" si="0"/>
        <v>28</v>
      </c>
    </row>
    <row r="47" spans="1:3" x14ac:dyDescent="0.25">
      <c r="A47" s="198">
        <v>36363</v>
      </c>
      <c r="B47" s="241">
        <v>19.420000000000002</v>
      </c>
      <c r="C47" s="42">
        <f t="shared" si="0"/>
        <v>29</v>
      </c>
    </row>
    <row r="48" spans="1:3" x14ac:dyDescent="0.25">
      <c r="A48" s="198">
        <v>36370</v>
      </c>
      <c r="B48" s="241">
        <v>19.760000000000002</v>
      </c>
      <c r="C48" s="42">
        <f t="shared" si="0"/>
        <v>30</v>
      </c>
    </row>
    <row r="49" spans="1:3" x14ac:dyDescent="0.25">
      <c r="A49" s="198">
        <v>36377</v>
      </c>
      <c r="B49" s="241">
        <v>20.55</v>
      </c>
      <c r="C49" s="42">
        <f t="shared" si="0"/>
        <v>31</v>
      </c>
    </row>
    <row r="50" spans="1:3" x14ac:dyDescent="0.25">
      <c r="A50" s="198">
        <v>36384</v>
      </c>
      <c r="B50" s="241">
        <v>21.69</v>
      </c>
      <c r="C50" s="42">
        <f t="shared" si="0"/>
        <v>32</v>
      </c>
    </row>
    <row r="51" spans="1:3" x14ac:dyDescent="0.25">
      <c r="A51" s="198">
        <v>36391</v>
      </c>
      <c r="B51" s="241">
        <v>20.22</v>
      </c>
      <c r="C51" s="42">
        <f t="shared" si="0"/>
        <v>33</v>
      </c>
    </row>
    <row r="52" spans="1:3" x14ac:dyDescent="0.25">
      <c r="A52" s="198">
        <v>36398</v>
      </c>
      <c r="B52" s="241">
        <v>19.68</v>
      </c>
      <c r="C52" s="42">
        <f t="shared" si="0"/>
        <v>34</v>
      </c>
    </row>
    <row r="53" spans="1:3" x14ac:dyDescent="0.25">
      <c r="A53" s="198">
        <v>36405</v>
      </c>
      <c r="B53" s="241">
        <v>19.829999999999998</v>
      </c>
      <c r="C53" s="42">
        <f t="shared" si="0"/>
        <v>35</v>
      </c>
    </row>
    <row r="54" spans="1:3" x14ac:dyDescent="0.25">
      <c r="A54" s="198">
        <v>36412</v>
      </c>
      <c r="B54" s="241">
        <v>19.72</v>
      </c>
      <c r="C54" s="42">
        <f t="shared" si="0"/>
        <v>36</v>
      </c>
    </row>
    <row r="55" spans="1:3" x14ac:dyDescent="0.25">
      <c r="A55" s="198">
        <v>36418</v>
      </c>
      <c r="B55" s="241">
        <v>19.649999999999999</v>
      </c>
      <c r="C55" s="42">
        <f t="shared" si="0"/>
        <v>37</v>
      </c>
    </row>
    <row r="56" spans="1:3" x14ac:dyDescent="0.25">
      <c r="A56" s="198">
        <v>36426</v>
      </c>
      <c r="B56" s="241">
        <v>19.72</v>
      </c>
      <c r="C56" s="42">
        <f t="shared" si="0"/>
        <v>38</v>
      </c>
    </row>
    <row r="57" spans="1:3" x14ac:dyDescent="0.25">
      <c r="A57" s="198">
        <v>36433</v>
      </c>
      <c r="B57" s="241">
        <v>19.64</v>
      </c>
      <c r="C57" s="42">
        <f t="shared" si="0"/>
        <v>39</v>
      </c>
    </row>
    <row r="58" spans="1:3" x14ac:dyDescent="0.25">
      <c r="A58" s="198">
        <v>36440</v>
      </c>
      <c r="B58" s="241">
        <v>19.09</v>
      </c>
      <c r="C58" s="42">
        <f t="shared" si="0"/>
        <v>40</v>
      </c>
    </row>
    <row r="59" spans="1:3" x14ac:dyDescent="0.25">
      <c r="A59" s="198">
        <v>36447</v>
      </c>
      <c r="B59" s="241">
        <v>16.86</v>
      </c>
      <c r="C59" s="42">
        <f t="shared" si="0"/>
        <v>41</v>
      </c>
    </row>
    <row r="60" spans="1:3" x14ac:dyDescent="0.25">
      <c r="A60" s="198">
        <v>36454</v>
      </c>
      <c r="B60" s="241">
        <v>17.8</v>
      </c>
      <c r="C60" s="42">
        <f t="shared" si="0"/>
        <v>42</v>
      </c>
    </row>
    <row r="61" spans="1:3" x14ac:dyDescent="0.25">
      <c r="A61" s="198">
        <v>36461</v>
      </c>
      <c r="B61" s="241">
        <v>17.73</v>
      </c>
      <c r="C61" s="42">
        <f t="shared" si="0"/>
        <v>43</v>
      </c>
    </row>
    <row r="62" spans="1:3" x14ac:dyDescent="0.25">
      <c r="A62" s="198">
        <v>36468</v>
      </c>
      <c r="B62" s="241">
        <v>17.89</v>
      </c>
      <c r="C62" s="42">
        <f t="shared" si="0"/>
        <v>44</v>
      </c>
    </row>
    <row r="63" spans="1:3" x14ac:dyDescent="0.25">
      <c r="A63" s="198">
        <v>36475</v>
      </c>
      <c r="B63" s="241">
        <v>16.53</v>
      </c>
      <c r="C63" s="42">
        <f t="shared" si="0"/>
        <v>45</v>
      </c>
    </row>
    <row r="64" spans="1:3" x14ac:dyDescent="0.25">
      <c r="A64" s="198">
        <v>36482</v>
      </c>
      <c r="B64" s="241">
        <v>16.09</v>
      </c>
      <c r="C64" s="42">
        <f t="shared" si="0"/>
        <v>46</v>
      </c>
    </row>
    <row r="65" spans="1:3" x14ac:dyDescent="0.25">
      <c r="A65" s="198">
        <v>36489</v>
      </c>
      <c r="B65" s="241">
        <v>17.309999999999999</v>
      </c>
      <c r="C65" s="42">
        <f t="shared" si="0"/>
        <v>47</v>
      </c>
    </row>
    <row r="66" spans="1:3" x14ac:dyDescent="0.25">
      <c r="A66" s="198">
        <v>36496</v>
      </c>
      <c r="B66" s="241">
        <v>16.75</v>
      </c>
      <c r="C66" s="42">
        <f t="shared" si="0"/>
        <v>48</v>
      </c>
    </row>
    <row r="67" spans="1:3" x14ac:dyDescent="0.25">
      <c r="A67" s="198">
        <v>36503</v>
      </c>
      <c r="B67" s="241">
        <v>16.14</v>
      </c>
      <c r="C67" s="42">
        <f t="shared" si="0"/>
        <v>49</v>
      </c>
    </row>
    <row r="68" spans="1:3" x14ac:dyDescent="0.25">
      <c r="A68" s="198">
        <v>36510</v>
      </c>
      <c r="B68" s="241">
        <v>16.43</v>
      </c>
      <c r="C68" s="42">
        <f t="shared" si="0"/>
        <v>50</v>
      </c>
    </row>
    <row r="69" spans="1:3" x14ac:dyDescent="0.25">
      <c r="A69" s="198">
        <v>36517</v>
      </c>
      <c r="B69" s="241">
        <v>16.68</v>
      </c>
      <c r="C69" s="42">
        <f t="shared" si="0"/>
        <v>51</v>
      </c>
    </row>
    <row r="70" spans="1:3" x14ac:dyDescent="0.25">
      <c r="A70" s="198">
        <v>36524</v>
      </c>
      <c r="B70" s="241">
        <v>16.25</v>
      </c>
      <c r="C70" s="42">
        <f t="shared" si="0"/>
        <v>52</v>
      </c>
    </row>
    <row r="71" spans="1:3" x14ac:dyDescent="0.25">
      <c r="A71" s="198">
        <v>36531</v>
      </c>
      <c r="B71" s="241">
        <v>16.41</v>
      </c>
      <c r="C71" s="42">
        <f t="shared" si="0"/>
        <v>53</v>
      </c>
    </row>
    <row r="72" spans="1:3" x14ac:dyDescent="0.25">
      <c r="A72" s="198">
        <v>36538</v>
      </c>
      <c r="B72" s="241">
        <v>15.62</v>
      </c>
      <c r="C72" s="42">
        <f t="shared" si="0"/>
        <v>54</v>
      </c>
    </row>
    <row r="73" spans="1:3" x14ac:dyDescent="0.25">
      <c r="A73" s="198">
        <v>36545</v>
      </c>
      <c r="B73" s="241">
        <v>15.98</v>
      </c>
      <c r="C73" s="42">
        <f t="shared" si="0"/>
        <v>55</v>
      </c>
    </row>
    <row r="74" spans="1:3" x14ac:dyDescent="0.25">
      <c r="A74" s="198">
        <v>36552</v>
      </c>
      <c r="B74" s="241">
        <v>16.760000000000002</v>
      </c>
      <c r="C74" s="42">
        <f t="shared" si="0"/>
        <v>56</v>
      </c>
    </row>
    <row r="75" spans="1:3" x14ac:dyDescent="0.25">
      <c r="A75" s="198">
        <v>36559</v>
      </c>
      <c r="B75" s="241">
        <v>17</v>
      </c>
      <c r="C75" s="42">
        <f t="shared" si="0"/>
        <v>57</v>
      </c>
    </row>
    <row r="76" spans="1:3" x14ac:dyDescent="0.25">
      <c r="A76" s="198">
        <v>36566</v>
      </c>
      <c r="B76" s="241">
        <v>15.69</v>
      </c>
      <c r="C76" s="42">
        <f t="shared" si="0"/>
        <v>58</v>
      </c>
    </row>
    <row r="77" spans="1:3" x14ac:dyDescent="0.25">
      <c r="A77" s="198">
        <v>36573</v>
      </c>
      <c r="B77" s="241">
        <v>15.24</v>
      </c>
      <c r="C77" s="42">
        <f t="shared" si="0"/>
        <v>59</v>
      </c>
    </row>
    <row r="78" spans="1:3" x14ac:dyDescent="0.25">
      <c r="A78" s="198">
        <v>36580</v>
      </c>
      <c r="B78" s="241">
        <v>15.29</v>
      </c>
      <c r="C78" s="42">
        <f t="shared" si="0"/>
        <v>60</v>
      </c>
    </row>
    <row r="79" spans="1:3" x14ac:dyDescent="0.25">
      <c r="A79" s="198">
        <v>36587</v>
      </c>
      <c r="B79" s="241">
        <v>14.96</v>
      </c>
      <c r="C79" s="42">
        <f t="shared" si="0"/>
        <v>61</v>
      </c>
    </row>
    <row r="80" spans="1:3" x14ac:dyDescent="0.25">
      <c r="A80" s="198">
        <v>36594</v>
      </c>
      <c r="B80" s="241">
        <v>13.95</v>
      </c>
      <c r="C80" s="42">
        <f t="shared" si="0"/>
        <v>62</v>
      </c>
    </row>
    <row r="81" spans="1:3" x14ac:dyDescent="0.25">
      <c r="A81" s="198">
        <v>36601</v>
      </c>
      <c r="B81" s="241">
        <v>13.31</v>
      </c>
      <c r="C81" s="42">
        <f t="shared" si="0"/>
        <v>63</v>
      </c>
    </row>
    <row r="82" spans="1:3" x14ac:dyDescent="0.25">
      <c r="A82" s="198">
        <v>36608</v>
      </c>
      <c r="B82" s="241">
        <v>13.21</v>
      </c>
      <c r="C82" s="42">
        <f t="shared" si="0"/>
        <v>64</v>
      </c>
    </row>
    <row r="83" spans="1:3" x14ac:dyDescent="0.25">
      <c r="A83" s="198">
        <v>36615</v>
      </c>
      <c r="B83" s="241">
        <v>12.88</v>
      </c>
      <c r="C83" s="42">
        <f t="shared" si="0"/>
        <v>65</v>
      </c>
    </row>
    <row r="84" spans="1:3" x14ac:dyDescent="0.25">
      <c r="A84" s="198">
        <v>36622</v>
      </c>
      <c r="B84" s="241">
        <v>12.92</v>
      </c>
      <c r="C84" s="42">
        <f t="shared" si="0"/>
        <v>66</v>
      </c>
    </row>
    <row r="85" spans="1:3" x14ac:dyDescent="0.25">
      <c r="A85" s="198">
        <v>36629</v>
      </c>
      <c r="B85" s="241">
        <v>12.76</v>
      </c>
      <c r="C85" s="42">
        <f t="shared" ref="C85:C148" si="1">+C84+1</f>
        <v>67</v>
      </c>
    </row>
    <row r="86" spans="1:3" x14ac:dyDescent="0.25">
      <c r="A86" s="198">
        <v>36635</v>
      </c>
      <c r="B86" s="241">
        <v>13.26</v>
      </c>
      <c r="C86" s="42">
        <f t="shared" si="1"/>
        <v>68</v>
      </c>
    </row>
    <row r="87" spans="1:3" x14ac:dyDescent="0.25">
      <c r="A87" s="198">
        <v>36643</v>
      </c>
      <c r="B87" s="241">
        <v>12.77</v>
      </c>
      <c r="C87" s="42">
        <f t="shared" si="1"/>
        <v>69</v>
      </c>
    </row>
    <row r="88" spans="1:3" x14ac:dyDescent="0.25">
      <c r="A88" s="198">
        <v>36650</v>
      </c>
      <c r="B88" s="241">
        <v>12.84</v>
      </c>
      <c r="C88" s="42">
        <f t="shared" si="1"/>
        <v>70</v>
      </c>
    </row>
    <row r="89" spans="1:3" x14ac:dyDescent="0.25">
      <c r="A89" s="198">
        <v>36657</v>
      </c>
      <c r="B89" s="241">
        <v>14.54</v>
      </c>
      <c r="C89" s="42">
        <f t="shared" si="1"/>
        <v>71</v>
      </c>
    </row>
    <row r="90" spans="1:3" x14ac:dyDescent="0.25">
      <c r="A90" s="198">
        <v>36664</v>
      </c>
      <c r="B90" s="241">
        <v>13.98</v>
      </c>
      <c r="C90" s="42">
        <f t="shared" si="1"/>
        <v>72</v>
      </c>
    </row>
    <row r="91" spans="1:3" x14ac:dyDescent="0.25">
      <c r="A91" s="198">
        <v>36671</v>
      </c>
      <c r="B91" s="241">
        <v>15.36</v>
      </c>
      <c r="C91" s="42">
        <f t="shared" si="1"/>
        <v>73</v>
      </c>
    </row>
    <row r="92" spans="1:3" x14ac:dyDescent="0.25">
      <c r="A92" s="198">
        <v>36678</v>
      </c>
      <c r="B92" s="241">
        <v>15.45</v>
      </c>
      <c r="C92" s="42">
        <f t="shared" si="1"/>
        <v>74</v>
      </c>
    </row>
    <row r="93" spans="1:3" x14ac:dyDescent="0.25">
      <c r="A93" s="198">
        <v>36685</v>
      </c>
      <c r="B93" s="241">
        <v>14.7</v>
      </c>
      <c r="C93" s="42">
        <f t="shared" si="1"/>
        <v>75</v>
      </c>
    </row>
    <row r="94" spans="1:3" x14ac:dyDescent="0.25">
      <c r="A94" s="198">
        <v>36692</v>
      </c>
      <c r="B94" s="241">
        <v>15.34</v>
      </c>
      <c r="C94" s="42">
        <f t="shared" si="1"/>
        <v>76</v>
      </c>
    </row>
    <row r="95" spans="1:3" x14ac:dyDescent="0.25">
      <c r="A95" s="198">
        <v>36699</v>
      </c>
      <c r="B95" s="241">
        <v>15.76</v>
      </c>
      <c r="C95" s="42">
        <f t="shared" si="1"/>
        <v>77</v>
      </c>
    </row>
    <row r="96" spans="1:3" x14ac:dyDescent="0.25">
      <c r="A96" s="198">
        <v>36706</v>
      </c>
      <c r="B96" s="241">
        <v>17.010000000000002</v>
      </c>
      <c r="C96" s="42">
        <f t="shared" si="1"/>
        <v>78</v>
      </c>
    </row>
    <row r="97" spans="1:3" x14ac:dyDescent="0.25">
      <c r="A97" s="198">
        <v>36713</v>
      </c>
      <c r="B97" s="241">
        <v>14.3</v>
      </c>
      <c r="C97" s="42">
        <f t="shared" si="1"/>
        <v>79</v>
      </c>
    </row>
    <row r="98" spans="1:3" x14ac:dyDescent="0.25">
      <c r="A98" s="198">
        <v>36720</v>
      </c>
      <c r="B98" s="241">
        <v>13.35</v>
      </c>
      <c r="C98" s="42">
        <f t="shared" si="1"/>
        <v>80</v>
      </c>
    </row>
    <row r="99" spans="1:3" x14ac:dyDescent="0.25">
      <c r="A99" s="198">
        <v>36727</v>
      </c>
      <c r="B99" s="241">
        <v>13.71</v>
      </c>
      <c r="C99" s="42">
        <f t="shared" si="1"/>
        <v>81</v>
      </c>
    </row>
    <row r="100" spans="1:3" x14ac:dyDescent="0.25">
      <c r="A100" s="198">
        <v>36734</v>
      </c>
      <c r="B100" s="241">
        <v>13.55</v>
      </c>
      <c r="C100" s="42">
        <f t="shared" si="1"/>
        <v>82</v>
      </c>
    </row>
    <row r="101" spans="1:3" x14ac:dyDescent="0.25">
      <c r="A101" s="198">
        <v>36741</v>
      </c>
      <c r="B101" s="241">
        <v>14.81</v>
      </c>
      <c r="C101" s="42">
        <f t="shared" si="1"/>
        <v>83</v>
      </c>
    </row>
    <row r="102" spans="1:3" x14ac:dyDescent="0.25">
      <c r="A102" s="198">
        <v>36748</v>
      </c>
      <c r="B102" s="241">
        <v>15.22</v>
      </c>
      <c r="C102" s="42">
        <f t="shared" si="1"/>
        <v>84</v>
      </c>
    </row>
    <row r="103" spans="1:3" x14ac:dyDescent="0.25">
      <c r="A103" s="198">
        <v>36755</v>
      </c>
      <c r="B103" s="241">
        <v>15.65</v>
      </c>
      <c r="C103" s="42">
        <f t="shared" si="1"/>
        <v>85</v>
      </c>
    </row>
    <row r="104" spans="1:3" x14ac:dyDescent="0.25">
      <c r="A104" s="198">
        <v>36762</v>
      </c>
      <c r="B104" s="241">
        <v>15.46</v>
      </c>
      <c r="C104" s="42">
        <f t="shared" si="1"/>
        <v>86</v>
      </c>
    </row>
    <row r="105" spans="1:3" x14ac:dyDescent="0.25">
      <c r="A105" s="198">
        <v>36769</v>
      </c>
      <c r="B105" s="241">
        <v>15.01</v>
      </c>
      <c r="C105" s="42">
        <f t="shared" si="1"/>
        <v>87</v>
      </c>
    </row>
    <row r="106" spans="1:3" x14ac:dyDescent="0.25">
      <c r="A106" s="198">
        <v>36776</v>
      </c>
      <c r="B106" s="241">
        <v>14.63</v>
      </c>
      <c r="C106" s="42">
        <f t="shared" si="1"/>
        <v>88</v>
      </c>
    </row>
    <row r="107" spans="1:3" x14ac:dyDescent="0.25">
      <c r="A107" s="198">
        <v>36783</v>
      </c>
      <c r="B107" s="241">
        <v>15.01</v>
      </c>
      <c r="C107" s="42">
        <f t="shared" si="1"/>
        <v>89</v>
      </c>
    </row>
    <row r="108" spans="1:3" x14ac:dyDescent="0.25">
      <c r="A108" s="198">
        <v>36790</v>
      </c>
      <c r="B108" s="241">
        <v>15.5</v>
      </c>
      <c r="C108" s="42">
        <f t="shared" si="1"/>
        <v>90</v>
      </c>
    </row>
    <row r="109" spans="1:3" x14ac:dyDescent="0.25">
      <c r="A109" s="198">
        <v>36797</v>
      </c>
      <c r="B109" s="241">
        <v>15.1</v>
      </c>
      <c r="C109" s="42">
        <f t="shared" si="1"/>
        <v>91</v>
      </c>
    </row>
    <row r="110" spans="1:3" x14ac:dyDescent="0.25">
      <c r="A110" s="198">
        <v>36804</v>
      </c>
      <c r="B110" s="241">
        <v>15.22</v>
      </c>
      <c r="C110" s="42">
        <f t="shared" si="1"/>
        <v>92</v>
      </c>
    </row>
    <row r="111" spans="1:3" x14ac:dyDescent="0.25">
      <c r="A111" s="198">
        <v>36811</v>
      </c>
      <c r="B111" s="241">
        <v>15.2</v>
      </c>
      <c r="C111" s="42">
        <f t="shared" si="1"/>
        <v>93</v>
      </c>
    </row>
    <row r="112" spans="1:3" x14ac:dyDescent="0.25">
      <c r="A112" s="198">
        <v>36818</v>
      </c>
      <c r="B112" s="241">
        <v>16.21</v>
      </c>
      <c r="C112" s="42">
        <f t="shared" si="1"/>
        <v>94</v>
      </c>
    </row>
    <row r="113" spans="1:3" x14ac:dyDescent="0.25">
      <c r="A113" s="198">
        <v>36825</v>
      </c>
      <c r="B113" s="241">
        <v>16.87</v>
      </c>
      <c r="C113" s="42">
        <f t="shared" si="1"/>
        <v>95</v>
      </c>
    </row>
    <row r="114" spans="1:3" x14ac:dyDescent="0.25">
      <c r="A114" s="198">
        <v>36831</v>
      </c>
      <c r="B114" s="241">
        <v>17.12</v>
      </c>
      <c r="C114" s="42">
        <f t="shared" si="1"/>
        <v>96</v>
      </c>
    </row>
    <row r="115" spans="1:3" x14ac:dyDescent="0.25">
      <c r="A115" s="198">
        <v>36839</v>
      </c>
      <c r="B115" s="241">
        <v>17.32</v>
      </c>
      <c r="C115" s="42">
        <f t="shared" si="1"/>
        <v>97</v>
      </c>
    </row>
    <row r="116" spans="1:3" x14ac:dyDescent="0.25">
      <c r="A116" s="198">
        <v>36846</v>
      </c>
      <c r="B116" s="241">
        <v>17.47</v>
      </c>
      <c r="C116" s="42">
        <f t="shared" si="1"/>
        <v>98</v>
      </c>
    </row>
    <row r="117" spans="1:3" x14ac:dyDescent="0.25">
      <c r="A117" s="198">
        <v>36853</v>
      </c>
      <c r="B117" s="241">
        <v>17.8</v>
      </c>
      <c r="C117" s="42">
        <f t="shared" si="1"/>
        <v>99</v>
      </c>
    </row>
    <row r="118" spans="1:3" x14ac:dyDescent="0.25">
      <c r="A118" s="198">
        <v>36860</v>
      </c>
      <c r="B118" s="241">
        <v>18.079999999999998</v>
      </c>
      <c r="C118" s="42">
        <f t="shared" si="1"/>
        <v>100</v>
      </c>
    </row>
    <row r="119" spans="1:3" x14ac:dyDescent="0.25">
      <c r="A119" s="198">
        <v>36867</v>
      </c>
      <c r="B119" s="241">
        <v>17.260000000000002</v>
      </c>
      <c r="C119" s="42">
        <f t="shared" si="1"/>
        <v>101</v>
      </c>
    </row>
    <row r="120" spans="1:3" x14ac:dyDescent="0.25">
      <c r="A120" s="198">
        <v>36874</v>
      </c>
      <c r="B120" s="241">
        <v>16.7</v>
      </c>
      <c r="C120" s="42">
        <f t="shared" si="1"/>
        <v>102</v>
      </c>
    </row>
    <row r="121" spans="1:3" x14ac:dyDescent="0.25">
      <c r="A121" s="198">
        <v>36881</v>
      </c>
      <c r="B121" s="241">
        <v>16.649999999999999</v>
      </c>
      <c r="C121" s="42">
        <f t="shared" si="1"/>
        <v>103</v>
      </c>
    </row>
    <row r="122" spans="1:3" x14ac:dyDescent="0.25">
      <c r="A122" s="198">
        <v>36888</v>
      </c>
      <c r="B122" s="241">
        <v>17.59</v>
      </c>
      <c r="C122" s="42">
        <f t="shared" si="1"/>
        <v>104</v>
      </c>
    </row>
    <row r="123" spans="1:3" x14ac:dyDescent="0.25">
      <c r="A123" s="198">
        <v>36895</v>
      </c>
      <c r="B123" s="241">
        <v>17.86</v>
      </c>
      <c r="C123" s="42">
        <f t="shared" si="1"/>
        <v>105</v>
      </c>
    </row>
    <row r="124" spans="1:3" x14ac:dyDescent="0.25">
      <c r="A124" s="198">
        <v>36902</v>
      </c>
      <c r="B124" s="241">
        <v>17.07</v>
      </c>
      <c r="C124" s="42">
        <f t="shared" si="1"/>
        <v>106</v>
      </c>
    </row>
    <row r="125" spans="1:3" x14ac:dyDescent="0.25">
      <c r="A125" s="198">
        <v>36909</v>
      </c>
      <c r="B125" s="241">
        <v>18.39</v>
      </c>
      <c r="C125" s="42">
        <f t="shared" si="1"/>
        <v>107</v>
      </c>
    </row>
    <row r="126" spans="1:3" x14ac:dyDescent="0.25">
      <c r="A126" s="198">
        <v>36916</v>
      </c>
      <c r="B126" s="241">
        <v>18.22</v>
      </c>
      <c r="C126" s="42">
        <f t="shared" si="1"/>
        <v>108</v>
      </c>
    </row>
    <row r="127" spans="1:3" x14ac:dyDescent="0.25">
      <c r="A127" s="198">
        <v>36923</v>
      </c>
      <c r="B127" s="241">
        <v>17.82</v>
      </c>
      <c r="C127" s="42">
        <f t="shared" si="1"/>
        <v>109</v>
      </c>
    </row>
    <row r="128" spans="1:3" x14ac:dyDescent="0.25">
      <c r="A128" s="198">
        <v>36930</v>
      </c>
      <c r="B128" s="241">
        <v>18.010000000000002</v>
      </c>
      <c r="C128" s="42">
        <f t="shared" si="1"/>
        <v>110</v>
      </c>
    </row>
    <row r="129" spans="1:3" x14ac:dyDescent="0.25">
      <c r="A129" s="198">
        <v>36937</v>
      </c>
      <c r="B129" s="241">
        <v>16.71</v>
      </c>
      <c r="C129" s="42">
        <f t="shared" si="1"/>
        <v>111</v>
      </c>
    </row>
    <row r="130" spans="1:3" x14ac:dyDescent="0.25">
      <c r="A130" s="198">
        <v>36944</v>
      </c>
      <c r="B130" s="241">
        <v>16.829999999999998</v>
      </c>
      <c r="C130" s="42">
        <f t="shared" si="1"/>
        <v>112</v>
      </c>
    </row>
    <row r="131" spans="1:3" x14ac:dyDescent="0.25">
      <c r="A131" s="198">
        <v>36951</v>
      </c>
      <c r="B131" s="241">
        <v>15.69</v>
      </c>
      <c r="C131" s="42">
        <f t="shared" si="1"/>
        <v>113</v>
      </c>
    </row>
    <row r="132" spans="1:3" x14ac:dyDescent="0.25">
      <c r="A132" s="198">
        <v>36958</v>
      </c>
      <c r="B132" s="241">
        <v>15.89</v>
      </c>
      <c r="C132" s="42">
        <f t="shared" si="1"/>
        <v>114</v>
      </c>
    </row>
    <row r="133" spans="1:3" x14ac:dyDescent="0.25">
      <c r="A133" s="198">
        <v>36965</v>
      </c>
      <c r="B133" s="241">
        <v>15.92</v>
      </c>
      <c r="C133" s="42">
        <f t="shared" si="1"/>
        <v>115</v>
      </c>
    </row>
    <row r="134" spans="1:3" x14ac:dyDescent="0.25">
      <c r="A134" s="198">
        <v>36972</v>
      </c>
      <c r="B134" s="241">
        <v>16.059999999999999</v>
      </c>
      <c r="C134" s="42">
        <f t="shared" si="1"/>
        <v>116</v>
      </c>
    </row>
    <row r="135" spans="1:3" x14ac:dyDescent="0.25">
      <c r="A135" s="198">
        <v>36979</v>
      </c>
      <c r="B135" s="241">
        <v>15.43</v>
      </c>
      <c r="C135" s="42">
        <f t="shared" si="1"/>
        <v>117</v>
      </c>
    </row>
    <row r="136" spans="1:3" x14ac:dyDescent="0.25">
      <c r="A136" s="198">
        <v>36986</v>
      </c>
      <c r="B136" s="241">
        <v>15.38</v>
      </c>
      <c r="C136" s="42">
        <f t="shared" si="1"/>
        <v>118</v>
      </c>
    </row>
    <row r="137" spans="1:3" x14ac:dyDescent="0.25">
      <c r="A137" s="198">
        <v>36992</v>
      </c>
      <c r="B137" s="241">
        <v>15.48</v>
      </c>
      <c r="C137" s="42">
        <f t="shared" si="1"/>
        <v>119</v>
      </c>
    </row>
    <row r="138" spans="1:3" x14ac:dyDescent="0.25">
      <c r="A138" s="198">
        <v>37000</v>
      </c>
      <c r="B138" s="241">
        <v>15.06</v>
      </c>
      <c r="C138" s="42">
        <f t="shared" si="1"/>
        <v>120</v>
      </c>
    </row>
    <row r="139" spans="1:3" x14ac:dyDescent="0.25">
      <c r="A139" s="198">
        <v>37007</v>
      </c>
      <c r="B139" s="241">
        <v>13.92</v>
      </c>
      <c r="C139" s="42">
        <f t="shared" si="1"/>
        <v>121</v>
      </c>
    </row>
    <row r="140" spans="1:3" x14ac:dyDescent="0.25">
      <c r="A140" s="198">
        <v>37014</v>
      </c>
      <c r="B140" s="241">
        <v>13.25</v>
      </c>
      <c r="C140" s="42">
        <f t="shared" si="1"/>
        <v>122</v>
      </c>
    </row>
    <row r="141" spans="1:3" x14ac:dyDescent="0.25">
      <c r="A141" s="198">
        <v>37021</v>
      </c>
      <c r="B141" s="241">
        <v>12.94</v>
      </c>
      <c r="C141" s="42">
        <f t="shared" si="1"/>
        <v>123</v>
      </c>
    </row>
    <row r="142" spans="1:3" x14ac:dyDescent="0.25">
      <c r="A142" s="198">
        <v>37028</v>
      </c>
      <c r="B142" s="241">
        <v>12.61</v>
      </c>
      <c r="C142" s="42">
        <f t="shared" si="1"/>
        <v>124</v>
      </c>
    </row>
    <row r="143" spans="1:3" x14ac:dyDescent="0.25">
      <c r="A143" s="198">
        <v>37035</v>
      </c>
      <c r="B143" s="241">
        <v>10.210000000000001</v>
      </c>
      <c r="C143" s="42">
        <f t="shared" si="1"/>
        <v>125</v>
      </c>
    </row>
    <row r="144" spans="1:3" x14ac:dyDescent="0.25">
      <c r="A144" s="198">
        <v>37042</v>
      </c>
      <c r="B144" s="241">
        <v>10.76</v>
      </c>
      <c r="C144" s="42">
        <f t="shared" si="1"/>
        <v>126</v>
      </c>
    </row>
    <row r="145" spans="1:3" x14ac:dyDescent="0.25">
      <c r="A145" s="198">
        <v>37049</v>
      </c>
      <c r="B145" s="241">
        <v>10.39</v>
      </c>
      <c r="C145" s="42">
        <f t="shared" si="1"/>
        <v>127</v>
      </c>
    </row>
    <row r="146" spans="1:3" x14ac:dyDescent="0.25">
      <c r="A146" s="198">
        <v>37056</v>
      </c>
      <c r="B146" s="241">
        <v>9.51</v>
      </c>
      <c r="C146" s="42">
        <f t="shared" si="1"/>
        <v>128</v>
      </c>
    </row>
    <row r="147" spans="1:3" x14ac:dyDescent="0.25">
      <c r="A147" s="198">
        <v>37063</v>
      </c>
      <c r="B147" s="241">
        <v>8.91</v>
      </c>
      <c r="C147" s="42">
        <f t="shared" si="1"/>
        <v>129</v>
      </c>
    </row>
    <row r="148" spans="1:3" x14ac:dyDescent="0.25">
      <c r="A148" s="198">
        <v>37070</v>
      </c>
      <c r="B148" s="241">
        <v>8.92</v>
      </c>
      <c r="C148" s="42">
        <f t="shared" si="1"/>
        <v>130</v>
      </c>
    </row>
    <row r="149" spans="1:3" x14ac:dyDescent="0.25">
      <c r="A149" s="198">
        <v>37077</v>
      </c>
      <c r="B149" s="241">
        <v>8.99</v>
      </c>
      <c r="C149" s="42">
        <f t="shared" ref="C149:C212" si="2">+C148+1</f>
        <v>131</v>
      </c>
    </row>
    <row r="150" spans="1:3" x14ac:dyDescent="0.25">
      <c r="A150" s="198">
        <v>37084</v>
      </c>
      <c r="B150" s="241">
        <v>9.42</v>
      </c>
      <c r="C150" s="42">
        <f t="shared" si="2"/>
        <v>132</v>
      </c>
    </row>
    <row r="151" spans="1:3" x14ac:dyDescent="0.25">
      <c r="A151" s="198">
        <v>37091</v>
      </c>
      <c r="B151" s="241">
        <v>9.73</v>
      </c>
      <c r="C151" s="42">
        <f t="shared" si="2"/>
        <v>133</v>
      </c>
    </row>
    <row r="152" spans="1:3" x14ac:dyDescent="0.25">
      <c r="A152" s="198">
        <v>37098</v>
      </c>
      <c r="B152" s="241">
        <v>9.4</v>
      </c>
      <c r="C152" s="42">
        <f t="shared" si="2"/>
        <v>134</v>
      </c>
    </row>
    <row r="153" spans="1:3" x14ac:dyDescent="0.25">
      <c r="A153" s="198">
        <v>37105</v>
      </c>
      <c r="B153" s="241">
        <v>8.34</v>
      </c>
      <c r="C153" s="42">
        <f t="shared" si="2"/>
        <v>135</v>
      </c>
    </row>
    <row r="154" spans="1:3" x14ac:dyDescent="0.25">
      <c r="A154" s="198">
        <v>37112</v>
      </c>
      <c r="B154" s="241">
        <v>7.24</v>
      </c>
      <c r="C154" s="42">
        <f t="shared" si="2"/>
        <v>136</v>
      </c>
    </row>
    <row r="155" spans="1:3" x14ac:dyDescent="0.25">
      <c r="A155" s="198">
        <v>37119</v>
      </c>
      <c r="B155" s="241">
        <v>7.37</v>
      </c>
      <c r="C155" s="42">
        <f t="shared" si="2"/>
        <v>137</v>
      </c>
    </row>
    <row r="156" spans="1:3" x14ac:dyDescent="0.25">
      <c r="A156" s="198">
        <v>37126</v>
      </c>
      <c r="B156" s="241">
        <v>6.97</v>
      </c>
      <c r="C156" s="42">
        <f t="shared" si="2"/>
        <v>138</v>
      </c>
    </row>
    <row r="157" spans="1:3" x14ac:dyDescent="0.25">
      <c r="A157" s="198">
        <v>37133</v>
      </c>
      <c r="B157" s="241">
        <v>7.61</v>
      </c>
      <c r="C157" s="42">
        <f t="shared" si="2"/>
        <v>139</v>
      </c>
    </row>
    <row r="158" spans="1:3" x14ac:dyDescent="0.25">
      <c r="A158" s="198">
        <v>37140</v>
      </c>
      <c r="B158" s="241">
        <v>8.75</v>
      </c>
      <c r="C158" s="42">
        <f t="shared" si="2"/>
        <v>140</v>
      </c>
    </row>
    <row r="159" spans="1:3" x14ac:dyDescent="0.25">
      <c r="A159" s="198">
        <v>37147</v>
      </c>
      <c r="B159" s="241">
        <v>9.76</v>
      </c>
      <c r="C159" s="42">
        <f t="shared" si="2"/>
        <v>141</v>
      </c>
    </row>
    <row r="160" spans="1:3" x14ac:dyDescent="0.25">
      <c r="A160" s="198">
        <v>37154</v>
      </c>
      <c r="B160" s="241">
        <v>9.09</v>
      </c>
      <c r="C160" s="42">
        <f t="shared" si="2"/>
        <v>142</v>
      </c>
    </row>
    <row r="161" spans="1:3" x14ac:dyDescent="0.25">
      <c r="A161" s="198">
        <v>37161</v>
      </c>
      <c r="B161" s="241">
        <v>9.67</v>
      </c>
      <c r="C161" s="42">
        <f t="shared" si="2"/>
        <v>143</v>
      </c>
    </row>
    <row r="162" spans="1:3" x14ac:dyDescent="0.25">
      <c r="A162" s="198">
        <v>37168</v>
      </c>
      <c r="B162" s="241">
        <v>9.1</v>
      </c>
      <c r="C162" s="42">
        <f t="shared" si="2"/>
        <v>144</v>
      </c>
    </row>
    <row r="163" spans="1:3" x14ac:dyDescent="0.25">
      <c r="A163" s="198">
        <v>37175</v>
      </c>
      <c r="B163" s="241">
        <v>9.1199999999999992</v>
      </c>
      <c r="C163" s="42">
        <f t="shared" si="2"/>
        <v>145</v>
      </c>
    </row>
    <row r="164" spans="1:3" x14ac:dyDescent="0.25">
      <c r="A164" s="198">
        <v>37182</v>
      </c>
      <c r="B164" s="241">
        <v>8.1999999999999993</v>
      </c>
      <c r="C164" s="42">
        <f t="shared" si="2"/>
        <v>146</v>
      </c>
    </row>
    <row r="165" spans="1:3" x14ac:dyDescent="0.25">
      <c r="A165" s="198">
        <v>37189</v>
      </c>
      <c r="B165" s="241">
        <v>7.02</v>
      </c>
      <c r="C165" s="42">
        <f t="shared" si="2"/>
        <v>147</v>
      </c>
    </row>
    <row r="166" spans="1:3" x14ac:dyDescent="0.25">
      <c r="A166" s="198">
        <v>37196</v>
      </c>
      <c r="B166" s="241">
        <v>7.4</v>
      </c>
      <c r="C166" s="42">
        <f t="shared" si="2"/>
        <v>148</v>
      </c>
    </row>
    <row r="167" spans="1:3" x14ac:dyDescent="0.25">
      <c r="A167" s="198">
        <v>37203</v>
      </c>
      <c r="B167" s="241">
        <v>7.28</v>
      </c>
      <c r="C167" s="42">
        <f t="shared" si="2"/>
        <v>149</v>
      </c>
    </row>
    <row r="168" spans="1:3" x14ac:dyDescent="0.25">
      <c r="A168" s="198">
        <v>37210</v>
      </c>
      <c r="B168" s="241">
        <v>7.64</v>
      </c>
      <c r="C168" s="42">
        <f t="shared" si="2"/>
        <v>150</v>
      </c>
    </row>
    <row r="169" spans="1:3" x14ac:dyDescent="0.25">
      <c r="A169" s="198">
        <v>37217</v>
      </c>
      <c r="B169" s="241">
        <v>7.81</v>
      </c>
      <c r="C169" s="42">
        <f t="shared" si="2"/>
        <v>151</v>
      </c>
    </row>
    <row r="170" spans="1:3" x14ac:dyDescent="0.25">
      <c r="A170" s="198">
        <v>37224</v>
      </c>
      <c r="B170" s="241">
        <v>7</v>
      </c>
      <c r="C170" s="42">
        <f t="shared" si="2"/>
        <v>152</v>
      </c>
    </row>
    <row r="171" spans="1:3" x14ac:dyDescent="0.25">
      <c r="A171" s="198">
        <v>37231</v>
      </c>
      <c r="B171" s="241">
        <v>6.18</v>
      </c>
      <c r="C171" s="42">
        <f t="shared" si="2"/>
        <v>153</v>
      </c>
    </row>
    <row r="172" spans="1:3" x14ac:dyDescent="0.25">
      <c r="A172" s="198">
        <v>37238</v>
      </c>
      <c r="B172" s="241">
        <v>6.18</v>
      </c>
      <c r="C172" s="42">
        <f t="shared" si="2"/>
        <v>154</v>
      </c>
    </row>
    <row r="173" spans="1:3" x14ac:dyDescent="0.25">
      <c r="A173" s="198">
        <v>37245</v>
      </c>
      <c r="B173" s="241">
        <v>6.03</v>
      </c>
      <c r="C173" s="42">
        <f t="shared" si="2"/>
        <v>155</v>
      </c>
    </row>
    <row r="174" spans="1:3" x14ac:dyDescent="0.25">
      <c r="A174" s="198">
        <v>37252</v>
      </c>
      <c r="B174" s="241">
        <v>6.75</v>
      </c>
      <c r="C174" s="42">
        <f t="shared" si="2"/>
        <v>156</v>
      </c>
    </row>
    <row r="175" spans="1:3" x14ac:dyDescent="0.25">
      <c r="A175" s="198">
        <v>37259</v>
      </c>
      <c r="B175" s="241">
        <v>7.35</v>
      </c>
      <c r="C175" s="42">
        <f t="shared" si="2"/>
        <v>157</v>
      </c>
    </row>
    <row r="176" spans="1:3" x14ac:dyDescent="0.25">
      <c r="A176" s="198">
        <v>37266</v>
      </c>
      <c r="B176" s="241">
        <v>6.48</v>
      </c>
      <c r="C176" s="42">
        <f t="shared" si="2"/>
        <v>158</v>
      </c>
    </row>
    <row r="177" spans="1:3" x14ac:dyDescent="0.25">
      <c r="A177" s="198">
        <v>37273</v>
      </c>
      <c r="B177" s="241">
        <v>6.41</v>
      </c>
      <c r="C177" s="42">
        <f t="shared" si="2"/>
        <v>159</v>
      </c>
    </row>
    <row r="178" spans="1:3" x14ac:dyDescent="0.25">
      <c r="A178" s="198">
        <v>37280</v>
      </c>
      <c r="B178" s="241">
        <v>6.78</v>
      </c>
      <c r="C178" s="42">
        <f t="shared" si="2"/>
        <v>160</v>
      </c>
    </row>
    <row r="179" spans="1:3" x14ac:dyDescent="0.25">
      <c r="A179" s="198">
        <v>37287</v>
      </c>
      <c r="B179" s="241">
        <v>7.85</v>
      </c>
      <c r="C179" s="42">
        <f t="shared" si="2"/>
        <v>161</v>
      </c>
    </row>
    <row r="180" spans="1:3" x14ac:dyDescent="0.25">
      <c r="A180" s="198">
        <v>37294</v>
      </c>
      <c r="B180" s="241">
        <v>8.15</v>
      </c>
      <c r="C180" s="42">
        <f t="shared" si="2"/>
        <v>162</v>
      </c>
    </row>
    <row r="181" spans="1:3" x14ac:dyDescent="0.25">
      <c r="A181" s="198">
        <v>37301</v>
      </c>
      <c r="B181" s="241">
        <v>8.2100000000000009</v>
      </c>
      <c r="C181" s="42">
        <f t="shared" si="2"/>
        <v>163</v>
      </c>
    </row>
    <row r="182" spans="1:3" x14ac:dyDescent="0.25">
      <c r="A182" s="198">
        <v>37308</v>
      </c>
      <c r="B182" s="241">
        <v>7.99</v>
      </c>
      <c r="C182" s="42">
        <f t="shared" si="2"/>
        <v>164</v>
      </c>
    </row>
    <row r="183" spans="1:3" x14ac:dyDescent="0.25">
      <c r="A183" s="198">
        <v>37315</v>
      </c>
      <c r="B183" s="241">
        <v>7.28</v>
      </c>
      <c r="C183" s="42">
        <f t="shared" si="2"/>
        <v>165</v>
      </c>
    </row>
    <row r="184" spans="1:3" x14ac:dyDescent="0.25">
      <c r="A184" s="198">
        <v>37322</v>
      </c>
      <c r="B184" s="241">
        <v>6.97</v>
      </c>
      <c r="C184" s="42">
        <f t="shared" si="2"/>
        <v>166</v>
      </c>
    </row>
    <row r="185" spans="1:3" x14ac:dyDescent="0.25">
      <c r="A185" s="198">
        <v>37329</v>
      </c>
      <c r="B185" s="241">
        <v>6.78</v>
      </c>
      <c r="C185" s="42">
        <f t="shared" si="2"/>
        <v>167</v>
      </c>
    </row>
    <row r="186" spans="1:3" x14ac:dyDescent="0.25">
      <c r="A186" s="198">
        <v>37335</v>
      </c>
      <c r="B186" s="241">
        <v>7.7</v>
      </c>
      <c r="C186" s="42">
        <f t="shared" si="2"/>
        <v>168</v>
      </c>
    </row>
    <row r="187" spans="1:3" x14ac:dyDescent="0.25">
      <c r="A187" s="198">
        <v>37342</v>
      </c>
      <c r="B187" s="241">
        <v>7.48</v>
      </c>
      <c r="C187" s="42">
        <f t="shared" si="2"/>
        <v>169</v>
      </c>
    </row>
    <row r="188" spans="1:3" x14ac:dyDescent="0.25">
      <c r="A188" s="198">
        <v>37350</v>
      </c>
      <c r="B188" s="241">
        <v>6.21</v>
      </c>
      <c r="C188" s="42">
        <f t="shared" si="2"/>
        <v>170</v>
      </c>
    </row>
    <row r="189" spans="1:3" x14ac:dyDescent="0.25">
      <c r="A189" s="198">
        <v>37357</v>
      </c>
      <c r="B189" s="241">
        <v>5.84</v>
      </c>
      <c r="C189" s="42">
        <f t="shared" si="2"/>
        <v>171</v>
      </c>
    </row>
    <row r="190" spans="1:3" x14ac:dyDescent="0.25">
      <c r="A190" s="198">
        <v>37364</v>
      </c>
      <c r="B190" s="241">
        <v>5.72</v>
      </c>
      <c r="C190" s="42">
        <f t="shared" si="2"/>
        <v>172</v>
      </c>
    </row>
    <row r="191" spans="1:3" x14ac:dyDescent="0.25">
      <c r="A191" s="198">
        <v>37371</v>
      </c>
      <c r="B191" s="241">
        <v>5.28</v>
      </c>
      <c r="C191" s="42">
        <f t="shared" si="2"/>
        <v>173</v>
      </c>
    </row>
    <row r="192" spans="1:3" x14ac:dyDescent="0.25">
      <c r="A192" s="198">
        <v>37378</v>
      </c>
      <c r="B192" s="241">
        <v>5.67</v>
      </c>
      <c r="C192" s="42">
        <f t="shared" si="2"/>
        <v>174</v>
      </c>
    </row>
    <row r="193" spans="1:3" x14ac:dyDescent="0.25">
      <c r="A193" s="198">
        <v>37385</v>
      </c>
      <c r="B193" s="241">
        <v>6.58</v>
      </c>
      <c r="C193" s="42">
        <f t="shared" si="2"/>
        <v>175</v>
      </c>
    </row>
    <row r="194" spans="1:3" x14ac:dyDescent="0.25">
      <c r="A194" s="198">
        <v>37392</v>
      </c>
      <c r="B194" s="241">
        <v>6.87</v>
      </c>
      <c r="C194" s="42">
        <f t="shared" si="2"/>
        <v>176</v>
      </c>
    </row>
    <row r="195" spans="1:3" x14ac:dyDescent="0.25">
      <c r="A195" s="198">
        <v>37399</v>
      </c>
      <c r="B195" s="241">
        <v>6.98</v>
      </c>
      <c r="C195" s="42">
        <f t="shared" si="2"/>
        <v>177</v>
      </c>
    </row>
    <row r="196" spans="1:3" x14ac:dyDescent="0.25">
      <c r="A196" s="198">
        <v>37406</v>
      </c>
      <c r="B196" s="241">
        <v>6.93</v>
      </c>
      <c r="C196" s="42">
        <f t="shared" si="2"/>
        <v>178</v>
      </c>
    </row>
    <row r="197" spans="1:3" x14ac:dyDescent="0.25">
      <c r="A197" s="198">
        <v>37413</v>
      </c>
      <c r="B197" s="241">
        <v>7</v>
      </c>
      <c r="C197" s="42">
        <f t="shared" si="2"/>
        <v>179</v>
      </c>
    </row>
    <row r="198" spans="1:3" x14ac:dyDescent="0.25">
      <c r="A198" s="198">
        <v>37420</v>
      </c>
      <c r="B198" s="241">
        <v>7.23</v>
      </c>
      <c r="C198" s="42">
        <f t="shared" si="2"/>
        <v>180</v>
      </c>
    </row>
    <row r="199" spans="1:3" x14ac:dyDescent="0.25">
      <c r="A199" s="198">
        <v>37427</v>
      </c>
      <c r="B199" s="241">
        <v>6.89</v>
      </c>
      <c r="C199" s="42">
        <f t="shared" si="2"/>
        <v>181</v>
      </c>
    </row>
    <row r="200" spans="1:3" x14ac:dyDescent="0.25">
      <c r="A200" s="198">
        <v>37434</v>
      </c>
      <c r="B200" s="241">
        <v>8.06</v>
      </c>
      <c r="C200" s="42">
        <f t="shared" si="2"/>
        <v>182</v>
      </c>
    </row>
    <row r="201" spans="1:3" x14ac:dyDescent="0.25">
      <c r="A201" s="198">
        <v>37441</v>
      </c>
      <c r="B201" s="241">
        <v>8.1999999999999993</v>
      </c>
      <c r="C201" s="42">
        <f t="shared" si="2"/>
        <v>183</v>
      </c>
    </row>
    <row r="202" spans="1:3" x14ac:dyDescent="0.25">
      <c r="A202" s="198">
        <v>37448</v>
      </c>
      <c r="B202" s="241">
        <v>7.24</v>
      </c>
      <c r="C202" s="42">
        <f t="shared" si="2"/>
        <v>184</v>
      </c>
    </row>
    <row r="203" spans="1:3" x14ac:dyDescent="0.25">
      <c r="A203" s="198">
        <v>37455</v>
      </c>
      <c r="B203" s="241">
        <v>7.24</v>
      </c>
      <c r="C203" s="42">
        <f t="shared" si="2"/>
        <v>185</v>
      </c>
    </row>
    <row r="204" spans="1:3" x14ac:dyDescent="0.25">
      <c r="A204" s="198">
        <v>37462</v>
      </c>
      <c r="B204" s="241">
        <v>6.82</v>
      </c>
      <c r="C204" s="42">
        <f t="shared" si="2"/>
        <v>186</v>
      </c>
    </row>
    <row r="205" spans="1:3" x14ac:dyDescent="0.25">
      <c r="A205" s="198">
        <v>37469</v>
      </c>
      <c r="B205" s="241">
        <v>6.71</v>
      </c>
      <c r="C205" s="42">
        <f t="shared" si="2"/>
        <v>187</v>
      </c>
    </row>
    <row r="206" spans="1:3" x14ac:dyDescent="0.25">
      <c r="A206" s="198">
        <v>37476</v>
      </c>
      <c r="B206" s="241">
        <v>6.53</v>
      </c>
      <c r="C206" s="42">
        <f t="shared" si="2"/>
        <v>188</v>
      </c>
    </row>
    <row r="207" spans="1:3" x14ac:dyDescent="0.25">
      <c r="A207" s="198">
        <v>37483</v>
      </c>
      <c r="B207" s="241">
        <v>6.7</v>
      </c>
      <c r="C207" s="42">
        <f t="shared" si="2"/>
        <v>189</v>
      </c>
    </row>
    <row r="208" spans="1:3" x14ac:dyDescent="0.25">
      <c r="A208" s="198">
        <v>37490</v>
      </c>
      <c r="B208" s="241">
        <v>6.78</v>
      </c>
      <c r="C208" s="42">
        <f t="shared" si="2"/>
        <v>190</v>
      </c>
    </row>
    <row r="209" spans="1:3" x14ac:dyDescent="0.25">
      <c r="A209" s="198">
        <v>37497</v>
      </c>
      <c r="B209" s="241">
        <v>6.69</v>
      </c>
      <c r="C209" s="42">
        <f t="shared" si="2"/>
        <v>191</v>
      </c>
    </row>
    <row r="210" spans="1:3" x14ac:dyDescent="0.25">
      <c r="A210" s="198">
        <v>37504</v>
      </c>
      <c r="B210" s="241">
        <v>6.9</v>
      </c>
      <c r="C210" s="42">
        <f t="shared" si="2"/>
        <v>192</v>
      </c>
    </row>
    <row r="211" spans="1:3" x14ac:dyDescent="0.25">
      <c r="A211" s="198">
        <v>37511</v>
      </c>
      <c r="B211" s="241">
        <v>6.87</v>
      </c>
      <c r="C211" s="42">
        <f t="shared" si="2"/>
        <v>193</v>
      </c>
    </row>
    <row r="212" spans="1:3" x14ac:dyDescent="0.25">
      <c r="A212" s="198">
        <v>37518</v>
      </c>
      <c r="B212" s="241">
        <v>6.99</v>
      </c>
      <c r="C212" s="42">
        <f t="shared" si="2"/>
        <v>194</v>
      </c>
    </row>
    <row r="213" spans="1:3" x14ac:dyDescent="0.25">
      <c r="A213" s="198">
        <v>37525</v>
      </c>
      <c r="B213" s="241">
        <v>8.6</v>
      </c>
      <c r="C213" s="42">
        <f t="shared" ref="C213:C276" si="3">+C212+1</f>
        <v>195</v>
      </c>
    </row>
    <row r="214" spans="1:3" x14ac:dyDescent="0.25">
      <c r="A214" s="198">
        <v>37532</v>
      </c>
      <c r="B214" s="241">
        <v>7.79</v>
      </c>
      <c r="C214" s="42">
        <f t="shared" si="3"/>
        <v>196</v>
      </c>
    </row>
    <row r="215" spans="1:3" x14ac:dyDescent="0.25">
      <c r="A215" s="198">
        <v>37539</v>
      </c>
      <c r="B215" s="241">
        <v>7.89</v>
      </c>
      <c r="C215" s="42">
        <f t="shared" si="3"/>
        <v>197</v>
      </c>
    </row>
    <row r="216" spans="1:3" x14ac:dyDescent="0.25">
      <c r="A216" s="198">
        <v>37546</v>
      </c>
      <c r="B216" s="241">
        <v>7.74</v>
      </c>
      <c r="C216" s="42">
        <f t="shared" si="3"/>
        <v>198</v>
      </c>
    </row>
    <row r="217" spans="1:3" x14ac:dyDescent="0.25">
      <c r="A217" s="198">
        <v>37553</v>
      </c>
      <c r="B217" s="241">
        <v>7.33</v>
      </c>
      <c r="C217" s="42">
        <f t="shared" si="3"/>
        <v>199</v>
      </c>
    </row>
    <row r="218" spans="1:3" x14ac:dyDescent="0.25">
      <c r="A218" s="198">
        <v>37560</v>
      </c>
      <c r="B218" s="241">
        <v>7.54</v>
      </c>
      <c r="C218" s="42">
        <f t="shared" si="3"/>
        <v>200</v>
      </c>
    </row>
    <row r="219" spans="1:3" x14ac:dyDescent="0.25">
      <c r="A219" s="198">
        <v>37567</v>
      </c>
      <c r="B219" s="241">
        <v>7.34</v>
      </c>
      <c r="C219" s="42">
        <f t="shared" si="3"/>
        <v>201</v>
      </c>
    </row>
    <row r="220" spans="1:3" x14ac:dyDescent="0.25">
      <c r="A220" s="198">
        <v>37574</v>
      </c>
      <c r="B220" s="241">
        <v>7.79</v>
      </c>
      <c r="C220" s="42">
        <f t="shared" si="3"/>
        <v>202</v>
      </c>
    </row>
    <row r="221" spans="1:3" x14ac:dyDescent="0.25">
      <c r="A221" s="198">
        <v>37581</v>
      </c>
      <c r="B221" s="241">
        <v>7.24</v>
      </c>
      <c r="C221" s="42">
        <f t="shared" si="3"/>
        <v>203</v>
      </c>
    </row>
    <row r="222" spans="1:3" x14ac:dyDescent="0.25">
      <c r="A222" s="198">
        <v>37588</v>
      </c>
      <c r="B222" s="241">
        <v>6.81</v>
      </c>
      <c r="C222" s="42">
        <f t="shared" si="3"/>
        <v>204</v>
      </c>
    </row>
    <row r="223" spans="1:3" x14ac:dyDescent="0.25">
      <c r="A223" s="198">
        <v>37595</v>
      </c>
      <c r="B223" s="241">
        <v>6.37</v>
      </c>
      <c r="C223" s="42">
        <f t="shared" si="3"/>
        <v>205</v>
      </c>
    </row>
    <row r="224" spans="1:3" x14ac:dyDescent="0.25">
      <c r="A224" s="198">
        <v>37601</v>
      </c>
      <c r="B224" s="241">
        <v>7.19</v>
      </c>
      <c r="C224" s="42">
        <f t="shared" si="3"/>
        <v>206</v>
      </c>
    </row>
    <row r="225" spans="1:3" x14ac:dyDescent="0.25">
      <c r="A225" s="198">
        <v>37609</v>
      </c>
      <c r="B225" s="241">
        <v>6.98</v>
      </c>
      <c r="C225" s="42">
        <f t="shared" si="3"/>
        <v>207</v>
      </c>
    </row>
    <row r="226" spans="1:3" x14ac:dyDescent="0.25">
      <c r="A226" s="198">
        <v>37616</v>
      </c>
      <c r="B226" s="241">
        <v>6.98</v>
      </c>
      <c r="C226" s="42">
        <f t="shared" si="3"/>
        <v>208</v>
      </c>
    </row>
    <row r="227" spans="1:3" x14ac:dyDescent="0.25">
      <c r="A227" s="198">
        <v>37623</v>
      </c>
      <c r="B227" s="241">
        <v>7.56</v>
      </c>
      <c r="C227" s="42">
        <f t="shared" si="3"/>
        <v>209</v>
      </c>
    </row>
    <row r="228" spans="1:3" x14ac:dyDescent="0.25">
      <c r="A228" s="198">
        <v>37630</v>
      </c>
      <c r="B228" s="241">
        <v>7.97</v>
      </c>
      <c r="C228" s="42">
        <f t="shared" si="3"/>
        <v>210</v>
      </c>
    </row>
    <row r="229" spans="1:3" x14ac:dyDescent="0.25">
      <c r="A229" s="198">
        <v>37637</v>
      </c>
      <c r="B229" s="241">
        <v>8.19</v>
      </c>
      <c r="C229" s="42">
        <f t="shared" si="3"/>
        <v>211</v>
      </c>
    </row>
    <row r="230" spans="1:3" x14ac:dyDescent="0.25">
      <c r="A230" s="198">
        <v>37644</v>
      </c>
      <c r="B230" s="241">
        <v>8.5399999999999991</v>
      </c>
      <c r="C230" s="42">
        <f t="shared" si="3"/>
        <v>212</v>
      </c>
    </row>
    <row r="231" spans="1:3" x14ac:dyDescent="0.25">
      <c r="A231" s="198">
        <v>37651</v>
      </c>
      <c r="B231" s="241">
        <v>9.08</v>
      </c>
      <c r="C231" s="42">
        <f t="shared" si="3"/>
        <v>213</v>
      </c>
    </row>
    <row r="232" spans="1:3" x14ac:dyDescent="0.25">
      <c r="A232" s="198">
        <v>37658</v>
      </c>
      <c r="B232" s="241">
        <v>8.86</v>
      </c>
      <c r="C232" s="42">
        <f t="shared" si="3"/>
        <v>214</v>
      </c>
    </row>
    <row r="233" spans="1:3" x14ac:dyDescent="0.25">
      <c r="A233" s="198">
        <v>37665</v>
      </c>
      <c r="B233" s="241">
        <v>9.11</v>
      </c>
      <c r="C233" s="42">
        <f t="shared" si="3"/>
        <v>215</v>
      </c>
    </row>
    <row r="234" spans="1:3" x14ac:dyDescent="0.25">
      <c r="A234" s="198">
        <v>37672</v>
      </c>
      <c r="B234" s="241">
        <v>8.9</v>
      </c>
      <c r="C234" s="42">
        <f t="shared" si="3"/>
        <v>216</v>
      </c>
    </row>
    <row r="235" spans="1:3" x14ac:dyDescent="0.25">
      <c r="A235" s="198">
        <v>37679</v>
      </c>
      <c r="B235" s="241">
        <v>9.3000000000000007</v>
      </c>
      <c r="C235" s="42">
        <f t="shared" si="3"/>
        <v>217</v>
      </c>
    </row>
    <row r="236" spans="1:3" x14ac:dyDescent="0.25">
      <c r="A236" s="198">
        <v>37686</v>
      </c>
      <c r="B236" s="241">
        <v>9.6</v>
      </c>
      <c r="C236" s="42">
        <f t="shared" si="3"/>
        <v>218</v>
      </c>
    </row>
    <row r="237" spans="1:3" x14ac:dyDescent="0.25">
      <c r="A237" s="198">
        <v>37693</v>
      </c>
      <c r="B237" s="241">
        <v>9.6999999999999993</v>
      </c>
      <c r="C237" s="42">
        <f t="shared" si="3"/>
        <v>219</v>
      </c>
    </row>
    <row r="238" spans="1:3" x14ac:dyDescent="0.25">
      <c r="A238" s="198">
        <v>37700</v>
      </c>
      <c r="B238" s="241">
        <v>8.9600000000000009</v>
      </c>
      <c r="C238" s="42">
        <f t="shared" si="3"/>
        <v>220</v>
      </c>
    </row>
    <row r="239" spans="1:3" x14ac:dyDescent="0.25">
      <c r="A239" s="198">
        <v>37707</v>
      </c>
      <c r="B239" s="241">
        <v>8.43</v>
      </c>
      <c r="C239" s="42">
        <f t="shared" si="3"/>
        <v>221</v>
      </c>
    </row>
    <row r="240" spans="1:3" x14ac:dyDescent="0.25">
      <c r="A240" s="198">
        <v>37714</v>
      </c>
      <c r="B240" s="241">
        <v>8.7200000000000006</v>
      </c>
      <c r="C240" s="42">
        <f t="shared" si="3"/>
        <v>222</v>
      </c>
    </row>
    <row r="241" spans="1:3" x14ac:dyDescent="0.25">
      <c r="A241" s="198">
        <v>37721</v>
      </c>
      <c r="B241" s="241">
        <v>8.25</v>
      </c>
      <c r="C241" s="42">
        <f t="shared" si="3"/>
        <v>223</v>
      </c>
    </row>
    <row r="242" spans="1:3" x14ac:dyDescent="0.25">
      <c r="A242" s="198">
        <v>37727</v>
      </c>
      <c r="B242" s="241">
        <v>7.99</v>
      </c>
      <c r="C242" s="42">
        <f t="shared" si="3"/>
        <v>224</v>
      </c>
    </row>
    <row r="243" spans="1:3" x14ac:dyDescent="0.25">
      <c r="A243" s="198">
        <v>37735</v>
      </c>
      <c r="B243" s="241">
        <v>7.62</v>
      </c>
      <c r="C243" s="42">
        <f t="shared" si="3"/>
        <v>225</v>
      </c>
    </row>
    <row r="244" spans="1:3" x14ac:dyDescent="0.25">
      <c r="A244" s="198">
        <v>37741</v>
      </c>
      <c r="B244" s="241">
        <v>6.73</v>
      </c>
      <c r="C244" s="42">
        <f t="shared" si="3"/>
        <v>226</v>
      </c>
    </row>
    <row r="245" spans="1:3" x14ac:dyDescent="0.25">
      <c r="A245" s="198">
        <v>37749</v>
      </c>
      <c r="B245" s="241">
        <v>5.82</v>
      </c>
      <c r="C245" s="42">
        <f t="shared" si="3"/>
        <v>227</v>
      </c>
    </row>
    <row r="246" spans="1:3" x14ac:dyDescent="0.25">
      <c r="A246" s="198">
        <v>37756</v>
      </c>
      <c r="B246" s="241">
        <v>4.9000000000000004</v>
      </c>
      <c r="C246" s="42">
        <f t="shared" si="3"/>
        <v>228</v>
      </c>
    </row>
    <row r="247" spans="1:3" x14ac:dyDescent="0.25">
      <c r="A247" s="198">
        <v>37763</v>
      </c>
      <c r="B247" s="241">
        <v>5.35</v>
      </c>
      <c r="C247" s="42">
        <f t="shared" si="3"/>
        <v>229</v>
      </c>
    </row>
    <row r="248" spans="1:3" x14ac:dyDescent="0.25">
      <c r="A248" s="198">
        <v>37770</v>
      </c>
      <c r="B248" s="241">
        <v>4.91</v>
      </c>
      <c r="C248" s="42">
        <f t="shared" si="3"/>
        <v>230</v>
      </c>
    </row>
    <row r="249" spans="1:3" x14ac:dyDescent="0.25">
      <c r="A249" s="198">
        <v>37777</v>
      </c>
      <c r="B249" s="241">
        <v>4.72</v>
      </c>
      <c r="C249" s="42">
        <f t="shared" si="3"/>
        <v>231</v>
      </c>
    </row>
    <row r="250" spans="1:3" x14ac:dyDescent="0.25">
      <c r="A250" s="198">
        <v>37784</v>
      </c>
      <c r="B250" s="241">
        <v>5.64</v>
      </c>
      <c r="C250" s="42">
        <f t="shared" si="3"/>
        <v>232</v>
      </c>
    </row>
    <row r="251" spans="1:3" x14ac:dyDescent="0.25">
      <c r="A251" s="198">
        <v>37791</v>
      </c>
      <c r="B251" s="241">
        <v>5.31</v>
      </c>
      <c r="C251" s="42">
        <f t="shared" si="3"/>
        <v>233</v>
      </c>
    </row>
    <row r="252" spans="1:3" x14ac:dyDescent="0.25">
      <c r="A252" s="198">
        <v>37798</v>
      </c>
      <c r="B252" s="241">
        <v>5.1100000000000003</v>
      </c>
      <c r="C252" s="42">
        <f t="shared" si="3"/>
        <v>234</v>
      </c>
    </row>
    <row r="253" spans="1:3" x14ac:dyDescent="0.25">
      <c r="A253" s="198">
        <v>37805</v>
      </c>
      <c r="B253" s="241">
        <v>4.38</v>
      </c>
      <c r="C253" s="42">
        <f t="shared" si="3"/>
        <v>235</v>
      </c>
    </row>
    <row r="254" spans="1:3" x14ac:dyDescent="0.25">
      <c r="A254" s="198">
        <v>37812</v>
      </c>
      <c r="B254" s="241">
        <v>4.91</v>
      </c>
      <c r="C254" s="42">
        <f t="shared" si="3"/>
        <v>236</v>
      </c>
    </row>
    <row r="255" spans="1:3" x14ac:dyDescent="0.25">
      <c r="A255" s="198">
        <v>37819</v>
      </c>
      <c r="B255" s="241">
        <v>5.09</v>
      </c>
      <c r="C255" s="42">
        <f t="shared" si="3"/>
        <v>237</v>
      </c>
    </row>
    <row r="256" spans="1:3" x14ac:dyDescent="0.25">
      <c r="A256" s="198">
        <v>37826</v>
      </c>
      <c r="B256" s="241">
        <v>4.3499999999999996</v>
      </c>
      <c r="C256" s="42">
        <f t="shared" si="3"/>
        <v>238</v>
      </c>
    </row>
    <row r="257" spans="1:3" x14ac:dyDescent="0.25">
      <c r="A257" s="198">
        <v>37833</v>
      </c>
      <c r="B257" s="241">
        <v>4.1399999999999997</v>
      </c>
      <c r="C257" s="42">
        <f t="shared" si="3"/>
        <v>239</v>
      </c>
    </row>
    <row r="258" spans="1:3" x14ac:dyDescent="0.25">
      <c r="A258" s="198">
        <v>37840</v>
      </c>
      <c r="B258" s="241">
        <v>4.3099999999999996</v>
      </c>
      <c r="C258" s="42">
        <f t="shared" si="3"/>
        <v>240</v>
      </c>
    </row>
    <row r="259" spans="1:3" x14ac:dyDescent="0.25">
      <c r="A259" s="198">
        <v>37847</v>
      </c>
      <c r="B259" s="241">
        <v>4.3</v>
      </c>
      <c r="C259" s="42">
        <f t="shared" si="3"/>
        <v>241</v>
      </c>
    </row>
    <row r="260" spans="1:3" x14ac:dyDescent="0.25">
      <c r="A260" s="198">
        <v>37854</v>
      </c>
      <c r="B260" s="241">
        <v>4.53</v>
      </c>
      <c r="C260" s="42">
        <f t="shared" si="3"/>
        <v>242</v>
      </c>
    </row>
    <row r="261" spans="1:3" x14ac:dyDescent="0.25">
      <c r="A261" s="198">
        <v>37861</v>
      </c>
      <c r="B261" s="241">
        <v>4.6500000000000004</v>
      </c>
      <c r="C261" s="42">
        <f t="shared" si="3"/>
        <v>243</v>
      </c>
    </row>
    <row r="262" spans="1:3" x14ac:dyDescent="0.25">
      <c r="A262" s="198">
        <v>37868</v>
      </c>
      <c r="B262" s="241">
        <v>4.9800000000000004</v>
      </c>
      <c r="C262" s="42">
        <f t="shared" si="3"/>
        <v>244</v>
      </c>
    </row>
    <row r="263" spans="1:3" x14ac:dyDescent="0.25">
      <c r="A263" s="198">
        <v>37875</v>
      </c>
      <c r="B263" s="241">
        <v>4.71</v>
      </c>
      <c r="C263" s="42">
        <f t="shared" si="3"/>
        <v>245</v>
      </c>
    </row>
    <row r="264" spans="1:3" x14ac:dyDescent="0.25">
      <c r="A264" s="198">
        <v>37882</v>
      </c>
      <c r="B264" s="241">
        <v>4.7699999999999996</v>
      </c>
      <c r="C264" s="42">
        <f t="shared" si="3"/>
        <v>246</v>
      </c>
    </row>
    <row r="265" spans="1:3" x14ac:dyDescent="0.25">
      <c r="A265" s="198">
        <v>37889</v>
      </c>
      <c r="B265" s="241">
        <v>4.47</v>
      </c>
      <c r="C265" s="42">
        <f t="shared" si="3"/>
        <v>247</v>
      </c>
    </row>
    <row r="266" spans="1:3" x14ac:dyDescent="0.25">
      <c r="A266" s="198">
        <v>37896</v>
      </c>
      <c r="B266" s="241">
        <v>4.58</v>
      </c>
      <c r="C266" s="42">
        <f t="shared" si="3"/>
        <v>248</v>
      </c>
    </row>
    <row r="267" spans="1:3" x14ac:dyDescent="0.25">
      <c r="A267" s="198">
        <v>37903</v>
      </c>
      <c r="B267" s="241">
        <v>5.47</v>
      </c>
      <c r="C267" s="42">
        <f t="shared" si="3"/>
        <v>249</v>
      </c>
    </row>
    <row r="268" spans="1:3" x14ac:dyDescent="0.25">
      <c r="A268" s="198">
        <v>37910</v>
      </c>
      <c r="B268" s="241">
        <v>5.42</v>
      </c>
      <c r="C268" s="42">
        <f t="shared" si="3"/>
        <v>250</v>
      </c>
    </row>
    <row r="269" spans="1:3" x14ac:dyDescent="0.25">
      <c r="A269" s="198">
        <v>37917</v>
      </c>
      <c r="B269" s="241">
        <v>5.24</v>
      </c>
      <c r="C269" s="42">
        <f t="shared" si="3"/>
        <v>251</v>
      </c>
    </row>
    <row r="270" spans="1:3" x14ac:dyDescent="0.25">
      <c r="A270" s="198">
        <v>37924</v>
      </c>
      <c r="B270" s="241">
        <v>4.8600000000000003</v>
      </c>
      <c r="C270" s="42">
        <f t="shared" si="3"/>
        <v>252</v>
      </c>
    </row>
    <row r="271" spans="1:3" x14ac:dyDescent="0.25">
      <c r="A271" s="198">
        <v>37931</v>
      </c>
      <c r="B271" s="241">
        <v>4.4800000000000004</v>
      </c>
      <c r="C271" s="42">
        <f t="shared" si="3"/>
        <v>253</v>
      </c>
    </row>
    <row r="272" spans="1:3" x14ac:dyDescent="0.25">
      <c r="A272" s="198">
        <v>37938</v>
      </c>
      <c r="B272" s="241">
        <v>4.55</v>
      </c>
      <c r="C272" s="42">
        <f t="shared" si="3"/>
        <v>254</v>
      </c>
    </row>
    <row r="273" spans="1:3" x14ac:dyDescent="0.25">
      <c r="A273" s="198">
        <v>37944</v>
      </c>
      <c r="B273" s="241">
        <v>5.15</v>
      </c>
      <c r="C273" s="42">
        <f t="shared" si="3"/>
        <v>255</v>
      </c>
    </row>
    <row r="274" spans="1:3" x14ac:dyDescent="0.25">
      <c r="A274" s="198">
        <v>37952</v>
      </c>
      <c r="B274" s="241">
        <v>5.78</v>
      </c>
      <c r="C274" s="42">
        <f t="shared" si="3"/>
        <v>256</v>
      </c>
    </row>
    <row r="275" spans="1:3" x14ac:dyDescent="0.25">
      <c r="A275" s="198">
        <v>37959</v>
      </c>
      <c r="B275" s="241">
        <v>6.31</v>
      </c>
      <c r="C275" s="42">
        <f t="shared" si="3"/>
        <v>257</v>
      </c>
    </row>
    <row r="276" spans="1:3" x14ac:dyDescent="0.25">
      <c r="A276" s="198">
        <v>37966</v>
      </c>
      <c r="B276" s="241">
        <v>5.6</v>
      </c>
      <c r="C276" s="42">
        <f t="shared" si="3"/>
        <v>258</v>
      </c>
    </row>
    <row r="277" spans="1:3" x14ac:dyDescent="0.25">
      <c r="A277" s="198">
        <v>37973</v>
      </c>
      <c r="B277" s="241">
        <v>6.13</v>
      </c>
      <c r="C277" s="42">
        <f t="shared" ref="C277:C340" si="4">+C276+1</f>
        <v>259</v>
      </c>
    </row>
    <row r="278" spans="1:3" x14ac:dyDescent="0.25">
      <c r="A278" s="198">
        <v>37979</v>
      </c>
      <c r="B278" s="241">
        <v>6.22</v>
      </c>
      <c r="C278" s="42">
        <f t="shared" si="4"/>
        <v>260</v>
      </c>
    </row>
    <row r="279" spans="1:3" x14ac:dyDescent="0.25">
      <c r="A279" s="198">
        <v>37986</v>
      </c>
      <c r="B279" s="241">
        <v>6.04</v>
      </c>
      <c r="C279" s="42">
        <f t="shared" si="4"/>
        <v>261</v>
      </c>
    </row>
    <row r="280" spans="1:3" x14ac:dyDescent="0.25">
      <c r="A280" s="198">
        <v>37994</v>
      </c>
      <c r="B280" s="241">
        <v>5.49</v>
      </c>
      <c r="C280" s="42">
        <f t="shared" si="4"/>
        <v>262</v>
      </c>
    </row>
    <row r="281" spans="1:3" x14ac:dyDescent="0.25">
      <c r="A281" s="198">
        <v>38001</v>
      </c>
      <c r="B281" s="241">
        <v>4.92</v>
      </c>
      <c r="C281" s="42">
        <f t="shared" si="4"/>
        <v>263</v>
      </c>
    </row>
    <row r="282" spans="1:3" x14ac:dyDescent="0.25">
      <c r="A282" s="198">
        <v>38008</v>
      </c>
      <c r="B282" s="241">
        <v>4.71</v>
      </c>
      <c r="C282" s="42">
        <f t="shared" si="4"/>
        <v>264</v>
      </c>
    </row>
    <row r="283" spans="1:3" x14ac:dyDescent="0.25">
      <c r="A283" s="198">
        <v>38015</v>
      </c>
      <c r="B283" s="241">
        <v>4.6900000000000004</v>
      </c>
      <c r="C283" s="42">
        <f t="shared" si="4"/>
        <v>265</v>
      </c>
    </row>
    <row r="284" spans="1:3" x14ac:dyDescent="0.25">
      <c r="A284" s="198">
        <v>38021</v>
      </c>
      <c r="B284" s="241">
        <v>4.88</v>
      </c>
      <c r="C284" s="42">
        <f t="shared" si="4"/>
        <v>266</v>
      </c>
    </row>
    <row r="285" spans="1:3" x14ac:dyDescent="0.25">
      <c r="A285" s="198">
        <v>38029</v>
      </c>
      <c r="B285" s="241">
        <v>5.59</v>
      </c>
      <c r="C285" s="42">
        <f t="shared" si="4"/>
        <v>267</v>
      </c>
    </row>
    <row r="286" spans="1:3" x14ac:dyDescent="0.25">
      <c r="A286" s="198">
        <v>38036</v>
      </c>
      <c r="B286" s="241">
        <v>5.6</v>
      </c>
      <c r="C286" s="42">
        <f t="shared" si="4"/>
        <v>268</v>
      </c>
    </row>
    <row r="287" spans="1:3" x14ac:dyDescent="0.25">
      <c r="A287" s="198">
        <v>38043</v>
      </c>
      <c r="B287" s="241">
        <v>6.21</v>
      </c>
      <c r="C287" s="42">
        <f t="shared" si="4"/>
        <v>269</v>
      </c>
    </row>
    <row r="288" spans="1:3" x14ac:dyDescent="0.25">
      <c r="A288" s="198">
        <v>38050</v>
      </c>
      <c r="B288" s="241">
        <v>6.31</v>
      </c>
      <c r="C288" s="42">
        <f t="shared" si="4"/>
        <v>270</v>
      </c>
    </row>
    <row r="289" spans="1:3" x14ac:dyDescent="0.25">
      <c r="A289" s="198">
        <v>38057</v>
      </c>
      <c r="B289" s="241">
        <v>6</v>
      </c>
      <c r="C289" s="42">
        <f t="shared" si="4"/>
        <v>271</v>
      </c>
    </row>
    <row r="290" spans="1:3" x14ac:dyDescent="0.25">
      <c r="A290" s="198">
        <v>38064</v>
      </c>
      <c r="B290" s="241">
        <v>6.59</v>
      </c>
      <c r="C290" s="42">
        <f t="shared" si="4"/>
        <v>272</v>
      </c>
    </row>
    <row r="291" spans="1:3" x14ac:dyDescent="0.25">
      <c r="A291" s="198">
        <v>38071</v>
      </c>
      <c r="B291" s="241">
        <v>6.21</v>
      </c>
      <c r="C291" s="42">
        <f t="shared" si="4"/>
        <v>273</v>
      </c>
    </row>
    <row r="292" spans="1:3" x14ac:dyDescent="0.25">
      <c r="A292" s="198">
        <v>38078</v>
      </c>
      <c r="B292" s="241">
        <v>6.05</v>
      </c>
      <c r="C292" s="42">
        <f t="shared" si="4"/>
        <v>274</v>
      </c>
    </row>
    <row r="293" spans="1:3" x14ac:dyDescent="0.25">
      <c r="A293" s="198">
        <v>38084</v>
      </c>
      <c r="B293" s="241">
        <v>5.96</v>
      </c>
      <c r="C293" s="42">
        <f t="shared" si="4"/>
        <v>275</v>
      </c>
    </row>
    <row r="294" spans="1:3" x14ac:dyDescent="0.25">
      <c r="A294" s="198">
        <v>38092</v>
      </c>
      <c r="B294" s="241">
        <v>5.98</v>
      </c>
      <c r="C294" s="42">
        <f t="shared" si="4"/>
        <v>276</v>
      </c>
    </row>
    <row r="295" spans="1:3" x14ac:dyDescent="0.25">
      <c r="A295" s="198">
        <v>38099</v>
      </c>
      <c r="B295" s="241">
        <v>5.91</v>
      </c>
      <c r="C295" s="42">
        <f t="shared" si="4"/>
        <v>277</v>
      </c>
    </row>
    <row r="296" spans="1:3" x14ac:dyDescent="0.25">
      <c r="A296" s="198">
        <v>38106</v>
      </c>
      <c r="B296" s="241">
        <v>6</v>
      </c>
      <c r="C296" s="42">
        <f t="shared" si="4"/>
        <v>278</v>
      </c>
    </row>
    <row r="297" spans="1:3" x14ac:dyDescent="0.25">
      <c r="A297" s="198">
        <v>38113</v>
      </c>
      <c r="B297" s="241">
        <v>6.47</v>
      </c>
      <c r="C297" s="42">
        <f t="shared" si="4"/>
        <v>279</v>
      </c>
    </row>
    <row r="298" spans="1:3" x14ac:dyDescent="0.25">
      <c r="A298" s="198">
        <v>38120</v>
      </c>
      <c r="B298" s="241">
        <v>6.94</v>
      </c>
      <c r="C298" s="42">
        <f t="shared" si="4"/>
        <v>280</v>
      </c>
    </row>
    <row r="299" spans="1:3" x14ac:dyDescent="0.25">
      <c r="A299" s="198">
        <v>38127</v>
      </c>
      <c r="B299" s="241">
        <v>6.55</v>
      </c>
      <c r="C299" s="42">
        <f t="shared" si="4"/>
        <v>281</v>
      </c>
    </row>
    <row r="300" spans="1:3" x14ac:dyDescent="0.25">
      <c r="A300" s="198">
        <v>38134</v>
      </c>
      <c r="B300" s="241">
        <v>6.41</v>
      </c>
      <c r="C300" s="42">
        <f t="shared" si="4"/>
        <v>282</v>
      </c>
    </row>
    <row r="301" spans="1:3" x14ac:dyDescent="0.25">
      <c r="A301" s="198">
        <v>38141</v>
      </c>
      <c r="B301" s="241">
        <v>6.57</v>
      </c>
      <c r="C301" s="42">
        <f t="shared" si="4"/>
        <v>283</v>
      </c>
    </row>
    <row r="302" spans="1:3" x14ac:dyDescent="0.25">
      <c r="A302" s="198">
        <v>38148</v>
      </c>
      <c r="B302" s="241">
        <v>6.59</v>
      </c>
      <c r="C302" s="42">
        <f t="shared" si="4"/>
        <v>284</v>
      </c>
    </row>
    <row r="303" spans="1:3" x14ac:dyDescent="0.25">
      <c r="A303" s="198">
        <v>38155</v>
      </c>
      <c r="B303" s="241">
        <v>6.54</v>
      </c>
      <c r="C303" s="42">
        <f t="shared" si="4"/>
        <v>285</v>
      </c>
    </row>
    <row r="304" spans="1:3" x14ac:dyDescent="0.25">
      <c r="A304" s="198">
        <v>38162</v>
      </c>
      <c r="B304" s="241">
        <v>6.58</v>
      </c>
      <c r="C304" s="42">
        <f t="shared" si="4"/>
        <v>286</v>
      </c>
    </row>
    <row r="305" spans="1:3" x14ac:dyDescent="0.25">
      <c r="A305" s="198">
        <v>38169</v>
      </c>
      <c r="B305" s="241">
        <v>6.8</v>
      </c>
      <c r="C305" s="42">
        <f t="shared" si="4"/>
        <v>287</v>
      </c>
    </row>
    <row r="306" spans="1:3" x14ac:dyDescent="0.25">
      <c r="A306" s="198">
        <v>38176</v>
      </c>
      <c r="B306" s="241">
        <v>6.69</v>
      </c>
      <c r="C306" s="42">
        <f t="shared" si="4"/>
        <v>288</v>
      </c>
    </row>
    <row r="307" spans="1:3" x14ac:dyDescent="0.25">
      <c r="A307" s="198">
        <v>38183</v>
      </c>
      <c r="B307" s="241">
        <v>6.69</v>
      </c>
      <c r="C307" s="42">
        <f t="shared" si="4"/>
        <v>289</v>
      </c>
    </row>
    <row r="308" spans="1:3" x14ac:dyDescent="0.25">
      <c r="A308" s="198">
        <v>38190</v>
      </c>
      <c r="B308" s="241">
        <v>6.71</v>
      </c>
      <c r="C308" s="42">
        <f t="shared" si="4"/>
        <v>290</v>
      </c>
    </row>
    <row r="309" spans="1:3" x14ac:dyDescent="0.25">
      <c r="A309" s="198">
        <v>38197</v>
      </c>
      <c r="B309" s="241">
        <v>7.16</v>
      </c>
      <c r="C309" s="42">
        <f t="shared" si="4"/>
        <v>291</v>
      </c>
    </row>
    <row r="310" spans="1:3" x14ac:dyDescent="0.25">
      <c r="A310" s="198">
        <v>38204</v>
      </c>
      <c r="B310" s="241">
        <v>7.17</v>
      </c>
      <c r="C310" s="42">
        <f t="shared" si="4"/>
        <v>292</v>
      </c>
    </row>
    <row r="311" spans="1:3" x14ac:dyDescent="0.25">
      <c r="A311" s="198">
        <v>38211</v>
      </c>
      <c r="B311" s="241">
        <v>7.23</v>
      </c>
      <c r="C311" s="42">
        <f t="shared" si="4"/>
        <v>293</v>
      </c>
    </row>
    <row r="312" spans="1:3" x14ac:dyDescent="0.25">
      <c r="A312" s="198">
        <v>38218</v>
      </c>
      <c r="B312" s="241">
        <v>7.13</v>
      </c>
      <c r="C312" s="42">
        <f t="shared" si="4"/>
        <v>294</v>
      </c>
    </row>
    <row r="313" spans="1:3" x14ac:dyDescent="0.25">
      <c r="A313" s="198">
        <v>38225</v>
      </c>
      <c r="B313" s="241">
        <v>7.32</v>
      </c>
      <c r="C313" s="42">
        <f t="shared" si="4"/>
        <v>295</v>
      </c>
    </row>
    <row r="314" spans="1:3" x14ac:dyDescent="0.25">
      <c r="A314" s="198">
        <v>38232</v>
      </c>
      <c r="B314" s="241">
        <v>7.29</v>
      </c>
      <c r="C314" s="42">
        <f t="shared" si="4"/>
        <v>296</v>
      </c>
    </row>
    <row r="315" spans="1:3" x14ac:dyDescent="0.25">
      <c r="A315" s="198">
        <v>38239</v>
      </c>
      <c r="B315" s="241">
        <v>7.32</v>
      </c>
      <c r="C315" s="42">
        <f t="shared" si="4"/>
        <v>297</v>
      </c>
    </row>
    <row r="316" spans="1:3" x14ac:dyDescent="0.25">
      <c r="A316" s="198">
        <v>38245</v>
      </c>
      <c r="B316" s="241">
        <v>7.27</v>
      </c>
      <c r="C316" s="42">
        <f t="shared" si="4"/>
        <v>298</v>
      </c>
    </row>
    <row r="317" spans="1:3" x14ac:dyDescent="0.25">
      <c r="A317" s="198">
        <v>38253</v>
      </c>
      <c r="B317" s="241">
        <v>7.31</v>
      </c>
      <c r="C317" s="42">
        <f t="shared" si="4"/>
        <v>299</v>
      </c>
    </row>
    <row r="318" spans="1:3" x14ac:dyDescent="0.25">
      <c r="A318" s="198">
        <v>38260</v>
      </c>
      <c r="B318" s="241">
        <v>7.61</v>
      </c>
      <c r="C318" s="42">
        <f t="shared" si="4"/>
        <v>300</v>
      </c>
    </row>
    <row r="319" spans="1:3" x14ac:dyDescent="0.25">
      <c r="A319" s="198">
        <v>38267</v>
      </c>
      <c r="B319" s="241">
        <v>7.65</v>
      </c>
      <c r="C319" s="42">
        <f t="shared" si="4"/>
        <v>301</v>
      </c>
    </row>
    <row r="320" spans="1:3" x14ac:dyDescent="0.25">
      <c r="A320" s="198">
        <v>38274</v>
      </c>
      <c r="B320" s="241">
        <v>7.65</v>
      </c>
      <c r="C320" s="42">
        <f t="shared" si="4"/>
        <v>302</v>
      </c>
    </row>
    <row r="321" spans="1:3" x14ac:dyDescent="0.25">
      <c r="A321" s="198">
        <v>38281</v>
      </c>
      <c r="B321" s="241">
        <v>7.76</v>
      </c>
      <c r="C321" s="42">
        <f t="shared" si="4"/>
        <v>303</v>
      </c>
    </row>
    <row r="322" spans="1:3" x14ac:dyDescent="0.25">
      <c r="A322" s="198">
        <v>38288</v>
      </c>
      <c r="B322" s="241">
        <v>7.97</v>
      </c>
      <c r="C322" s="42">
        <f t="shared" si="4"/>
        <v>304</v>
      </c>
    </row>
    <row r="323" spans="1:3" x14ac:dyDescent="0.25">
      <c r="A323" s="198">
        <v>38295</v>
      </c>
      <c r="B323" s="241">
        <v>8.02</v>
      </c>
      <c r="C323" s="42">
        <f t="shared" si="4"/>
        <v>305</v>
      </c>
    </row>
    <row r="324" spans="1:3" x14ac:dyDescent="0.25">
      <c r="A324" s="198">
        <v>38302</v>
      </c>
      <c r="B324" s="241">
        <v>8.1999999999999993</v>
      </c>
      <c r="C324" s="42">
        <f t="shared" si="4"/>
        <v>306</v>
      </c>
    </row>
    <row r="325" spans="1:3" x14ac:dyDescent="0.25">
      <c r="A325" s="198">
        <v>38309</v>
      </c>
      <c r="B325" s="241">
        <v>8.23</v>
      </c>
      <c r="C325" s="42">
        <f t="shared" si="4"/>
        <v>307</v>
      </c>
    </row>
    <row r="326" spans="1:3" x14ac:dyDescent="0.25">
      <c r="A326" s="198">
        <v>38316</v>
      </c>
      <c r="B326" s="241">
        <v>8.36</v>
      </c>
      <c r="C326" s="42">
        <f t="shared" si="4"/>
        <v>308</v>
      </c>
    </row>
    <row r="327" spans="1:3" x14ac:dyDescent="0.25">
      <c r="A327" s="198">
        <v>38323</v>
      </c>
      <c r="B327" s="241">
        <v>8.3699999999999992</v>
      </c>
      <c r="C327" s="42">
        <f t="shared" si="4"/>
        <v>309</v>
      </c>
    </row>
    <row r="328" spans="1:3" x14ac:dyDescent="0.25">
      <c r="A328" s="198">
        <v>38330</v>
      </c>
      <c r="B328" s="241">
        <v>8.34</v>
      </c>
      <c r="C328" s="42">
        <f t="shared" si="4"/>
        <v>310</v>
      </c>
    </row>
    <row r="329" spans="1:3" x14ac:dyDescent="0.25">
      <c r="A329" s="198">
        <v>38337</v>
      </c>
      <c r="B329" s="241">
        <v>8.59</v>
      </c>
      <c r="C329" s="42">
        <f t="shared" si="4"/>
        <v>311</v>
      </c>
    </row>
    <row r="330" spans="1:3" x14ac:dyDescent="0.25">
      <c r="A330" s="198">
        <v>38344</v>
      </c>
      <c r="B330" s="241">
        <v>8.6</v>
      </c>
      <c r="C330" s="42">
        <f t="shared" si="4"/>
        <v>312</v>
      </c>
    </row>
    <row r="331" spans="1:3" x14ac:dyDescent="0.25">
      <c r="A331" s="198">
        <v>38351</v>
      </c>
      <c r="B331" s="241">
        <v>8.61</v>
      </c>
      <c r="C331" s="42">
        <f t="shared" si="4"/>
        <v>313</v>
      </c>
    </row>
    <row r="332" spans="1:3" x14ac:dyDescent="0.25">
      <c r="A332" s="198">
        <v>38358</v>
      </c>
      <c r="B332" s="241">
        <v>8.56</v>
      </c>
      <c r="C332" s="42">
        <f t="shared" si="4"/>
        <v>314</v>
      </c>
    </row>
    <row r="333" spans="1:3" x14ac:dyDescent="0.25">
      <c r="A333" s="198">
        <v>38365</v>
      </c>
      <c r="B333" s="241">
        <v>8.59</v>
      </c>
      <c r="C333" s="42">
        <f t="shared" si="4"/>
        <v>315</v>
      </c>
    </row>
    <row r="334" spans="1:3" x14ac:dyDescent="0.25">
      <c r="A334" s="198">
        <v>38372</v>
      </c>
      <c r="B334" s="241">
        <v>8.6300000000000008</v>
      </c>
      <c r="C334" s="42">
        <f t="shared" si="4"/>
        <v>316</v>
      </c>
    </row>
    <row r="335" spans="1:3" x14ac:dyDescent="0.25">
      <c r="A335" s="198">
        <v>38379</v>
      </c>
      <c r="B335" s="241">
        <v>8.6300000000000008</v>
      </c>
      <c r="C335" s="42">
        <f t="shared" si="4"/>
        <v>317</v>
      </c>
    </row>
    <row r="336" spans="1:3" x14ac:dyDescent="0.25">
      <c r="A336" s="198">
        <v>38386</v>
      </c>
      <c r="B336" s="241">
        <v>9.07</v>
      </c>
      <c r="C336" s="42">
        <f t="shared" si="4"/>
        <v>318</v>
      </c>
    </row>
    <row r="337" spans="1:3" x14ac:dyDescent="0.25">
      <c r="A337" s="198">
        <v>38393</v>
      </c>
      <c r="B337" s="241">
        <v>9.14</v>
      </c>
      <c r="C337" s="42">
        <f t="shared" si="4"/>
        <v>319</v>
      </c>
    </row>
    <row r="338" spans="1:3" x14ac:dyDescent="0.25">
      <c r="A338" s="198">
        <v>38400</v>
      </c>
      <c r="B338" s="241">
        <v>9.15</v>
      </c>
      <c r="C338" s="42">
        <f t="shared" si="4"/>
        <v>320</v>
      </c>
    </row>
    <row r="339" spans="1:3" x14ac:dyDescent="0.25">
      <c r="A339" s="198">
        <v>38407</v>
      </c>
      <c r="B339" s="241">
        <v>9.23</v>
      </c>
      <c r="C339" s="42">
        <f t="shared" si="4"/>
        <v>321</v>
      </c>
    </row>
    <row r="340" spans="1:3" x14ac:dyDescent="0.25">
      <c r="A340" s="198">
        <v>38414</v>
      </c>
      <c r="B340" s="241">
        <v>9.33</v>
      </c>
      <c r="C340" s="42">
        <f t="shared" si="4"/>
        <v>322</v>
      </c>
    </row>
    <row r="341" spans="1:3" x14ac:dyDescent="0.25">
      <c r="A341" s="198">
        <v>38421</v>
      </c>
      <c r="B341" s="241">
        <v>9.32</v>
      </c>
      <c r="C341" s="42">
        <f t="shared" ref="C341:C404" si="5">+C340+1</f>
        <v>323</v>
      </c>
    </row>
    <row r="342" spans="1:3" x14ac:dyDescent="0.25">
      <c r="A342" s="198">
        <v>38428</v>
      </c>
      <c r="B342" s="241">
        <v>9.3699999999999992</v>
      </c>
      <c r="C342" s="42">
        <f t="shared" si="5"/>
        <v>324</v>
      </c>
    </row>
    <row r="343" spans="1:3" x14ac:dyDescent="0.25">
      <c r="A343" s="198">
        <v>38434</v>
      </c>
      <c r="B343" s="241">
        <v>9.4499999999999993</v>
      </c>
      <c r="C343" s="42">
        <f t="shared" si="5"/>
        <v>325</v>
      </c>
    </row>
    <row r="344" spans="1:3" x14ac:dyDescent="0.25">
      <c r="A344" s="198">
        <v>38442</v>
      </c>
      <c r="B344" s="241">
        <v>9.57</v>
      </c>
      <c r="C344" s="42">
        <f t="shared" si="5"/>
        <v>326</v>
      </c>
    </row>
    <row r="345" spans="1:3" x14ac:dyDescent="0.25">
      <c r="A345" s="198">
        <v>38449</v>
      </c>
      <c r="B345" s="241">
        <v>9.64</v>
      </c>
      <c r="C345" s="42">
        <f t="shared" si="5"/>
        <v>327</v>
      </c>
    </row>
    <row r="346" spans="1:3" x14ac:dyDescent="0.25">
      <c r="A346" s="198">
        <v>38456</v>
      </c>
      <c r="B346" s="241">
        <v>9.59</v>
      </c>
      <c r="C346" s="42">
        <f t="shared" si="5"/>
        <v>328</v>
      </c>
    </row>
    <row r="347" spans="1:3" x14ac:dyDescent="0.25">
      <c r="A347" s="198">
        <v>38463</v>
      </c>
      <c r="B347" s="241">
        <v>9.66</v>
      </c>
      <c r="C347" s="42">
        <f t="shared" si="5"/>
        <v>329</v>
      </c>
    </row>
    <row r="348" spans="1:3" x14ac:dyDescent="0.25">
      <c r="A348" s="198">
        <v>38470</v>
      </c>
      <c r="B348" s="241">
        <v>9.61</v>
      </c>
      <c r="C348" s="42">
        <f t="shared" si="5"/>
        <v>330</v>
      </c>
    </row>
    <row r="349" spans="1:3" x14ac:dyDescent="0.25">
      <c r="A349" s="198">
        <v>38477</v>
      </c>
      <c r="B349" s="241">
        <v>9.77</v>
      </c>
      <c r="C349" s="42">
        <f t="shared" si="5"/>
        <v>331</v>
      </c>
    </row>
    <row r="350" spans="1:3" x14ac:dyDescent="0.25">
      <c r="A350" s="198">
        <v>38484</v>
      </c>
      <c r="B350" s="241">
        <v>9.81</v>
      </c>
      <c r="C350" s="42">
        <f t="shared" si="5"/>
        <v>332</v>
      </c>
    </row>
    <row r="351" spans="1:3" x14ac:dyDescent="0.25">
      <c r="A351" s="198">
        <v>38491</v>
      </c>
      <c r="B351" s="241">
        <v>9.73</v>
      </c>
      <c r="C351" s="42">
        <f t="shared" si="5"/>
        <v>333</v>
      </c>
    </row>
    <row r="352" spans="1:3" x14ac:dyDescent="0.25">
      <c r="A352" s="198">
        <v>38498</v>
      </c>
      <c r="B352" s="241">
        <v>9.69</v>
      </c>
      <c r="C352" s="42">
        <f t="shared" si="5"/>
        <v>334</v>
      </c>
    </row>
    <row r="353" spans="1:3" x14ac:dyDescent="0.25">
      <c r="A353" s="198">
        <v>38505</v>
      </c>
      <c r="B353" s="241">
        <v>9.64</v>
      </c>
      <c r="C353" s="42">
        <f t="shared" si="5"/>
        <v>335</v>
      </c>
    </row>
    <row r="354" spans="1:3" x14ac:dyDescent="0.25">
      <c r="A354" s="198">
        <v>38512</v>
      </c>
      <c r="B354" s="241">
        <v>9.64</v>
      </c>
      <c r="C354" s="42">
        <f t="shared" si="5"/>
        <v>336</v>
      </c>
    </row>
    <row r="355" spans="1:3" x14ac:dyDescent="0.25">
      <c r="A355" s="198">
        <v>38519</v>
      </c>
      <c r="B355" s="241">
        <v>9.6199999999999992</v>
      </c>
      <c r="C355" s="42">
        <f t="shared" si="5"/>
        <v>337</v>
      </c>
    </row>
    <row r="356" spans="1:3" x14ac:dyDescent="0.25">
      <c r="A356" s="198">
        <v>38526</v>
      </c>
      <c r="B356" s="241">
        <v>9.6199999999999992</v>
      </c>
      <c r="C356" s="42">
        <f t="shared" si="5"/>
        <v>338</v>
      </c>
    </row>
    <row r="357" spans="1:3" x14ac:dyDescent="0.25">
      <c r="A357" s="198">
        <v>38533</v>
      </c>
      <c r="B357" s="241">
        <v>9.61</v>
      </c>
      <c r="C357" s="42">
        <f t="shared" si="5"/>
        <v>339</v>
      </c>
    </row>
    <row r="358" spans="1:3" x14ac:dyDescent="0.25">
      <c r="A358" s="198">
        <v>38540</v>
      </c>
      <c r="B358" s="241">
        <v>9.61</v>
      </c>
      <c r="C358" s="42">
        <f t="shared" si="5"/>
        <v>340</v>
      </c>
    </row>
    <row r="359" spans="1:3" x14ac:dyDescent="0.25">
      <c r="A359" s="198">
        <v>38547</v>
      </c>
      <c r="B359" s="241">
        <v>9.61</v>
      </c>
      <c r="C359" s="42">
        <f t="shared" si="5"/>
        <v>341</v>
      </c>
    </row>
    <row r="360" spans="1:3" x14ac:dyDescent="0.25">
      <c r="A360" s="198">
        <v>38554</v>
      </c>
      <c r="B360" s="241">
        <v>9.6</v>
      </c>
      <c r="C360" s="42">
        <f t="shared" si="5"/>
        <v>342</v>
      </c>
    </row>
    <row r="361" spans="1:3" x14ac:dyDescent="0.25">
      <c r="A361" s="198">
        <v>38561</v>
      </c>
      <c r="B361" s="241">
        <v>9.6300000000000008</v>
      </c>
      <c r="C361" s="42">
        <f t="shared" si="5"/>
        <v>343</v>
      </c>
    </row>
    <row r="362" spans="1:3" x14ac:dyDescent="0.25">
      <c r="A362" s="198">
        <v>38568</v>
      </c>
      <c r="B362" s="241">
        <v>9.6199999999999992</v>
      </c>
      <c r="C362" s="42">
        <f t="shared" si="5"/>
        <v>344</v>
      </c>
    </row>
    <row r="363" spans="1:3" x14ac:dyDescent="0.25">
      <c r="A363" s="198">
        <v>38575</v>
      </c>
      <c r="B363" s="241">
        <v>9.61</v>
      </c>
      <c r="C363" s="42">
        <f t="shared" si="5"/>
        <v>345</v>
      </c>
    </row>
    <row r="364" spans="1:3" x14ac:dyDescent="0.25">
      <c r="A364" s="198">
        <v>38582</v>
      </c>
      <c r="B364" s="241">
        <v>9.58</v>
      </c>
      <c r="C364" s="42">
        <f t="shared" si="5"/>
        <v>346</v>
      </c>
    </row>
    <row r="365" spans="1:3" x14ac:dyDescent="0.25">
      <c r="A365" s="198">
        <v>38589</v>
      </c>
      <c r="B365" s="241">
        <v>9.57</v>
      </c>
      <c r="C365" s="42">
        <f t="shared" si="5"/>
        <v>347</v>
      </c>
    </row>
    <row r="366" spans="1:3" x14ac:dyDescent="0.25">
      <c r="A366" s="198">
        <v>38596</v>
      </c>
      <c r="B366" s="241">
        <v>9.42</v>
      </c>
      <c r="C366" s="42">
        <f t="shared" si="5"/>
        <v>348</v>
      </c>
    </row>
    <row r="367" spans="1:3" x14ac:dyDescent="0.25">
      <c r="A367" s="198">
        <v>38603</v>
      </c>
      <c r="B367" s="241">
        <v>9.36</v>
      </c>
      <c r="C367" s="42">
        <f t="shared" si="5"/>
        <v>349</v>
      </c>
    </row>
    <row r="368" spans="1:3" x14ac:dyDescent="0.25">
      <c r="A368" s="198">
        <v>38610</v>
      </c>
      <c r="B368" s="241">
        <v>9.2100000000000009</v>
      </c>
      <c r="C368" s="42">
        <f t="shared" si="5"/>
        <v>350</v>
      </c>
    </row>
    <row r="369" spans="1:3" x14ac:dyDescent="0.25">
      <c r="A369" s="198">
        <v>38617</v>
      </c>
      <c r="B369" s="241">
        <v>9.06</v>
      </c>
      <c r="C369" s="42">
        <f t="shared" si="5"/>
        <v>351</v>
      </c>
    </row>
    <row r="370" spans="1:3" x14ac:dyDescent="0.25">
      <c r="A370" s="198">
        <v>38624</v>
      </c>
      <c r="B370" s="241">
        <v>9.02</v>
      </c>
      <c r="C370" s="42">
        <f t="shared" si="5"/>
        <v>352</v>
      </c>
    </row>
    <row r="371" spans="1:3" x14ac:dyDescent="0.25">
      <c r="A371" s="198">
        <v>38631</v>
      </c>
      <c r="B371" s="241">
        <v>8.99</v>
      </c>
      <c r="C371" s="42">
        <f t="shared" si="5"/>
        <v>353</v>
      </c>
    </row>
    <row r="372" spans="1:3" x14ac:dyDescent="0.25">
      <c r="A372" s="198">
        <v>38638</v>
      </c>
      <c r="B372" s="241">
        <v>8.94</v>
      </c>
      <c r="C372" s="42">
        <f t="shared" si="5"/>
        <v>354</v>
      </c>
    </row>
    <row r="373" spans="1:3" x14ac:dyDescent="0.25">
      <c r="A373" s="198">
        <v>38645</v>
      </c>
      <c r="B373" s="241">
        <v>8.8800000000000008</v>
      </c>
      <c r="C373" s="42">
        <f t="shared" si="5"/>
        <v>355</v>
      </c>
    </row>
    <row r="374" spans="1:3" x14ac:dyDescent="0.25">
      <c r="A374" s="198">
        <v>38652</v>
      </c>
      <c r="B374" s="241">
        <v>8.82</v>
      </c>
      <c r="C374" s="42">
        <f t="shared" si="5"/>
        <v>356</v>
      </c>
    </row>
    <row r="375" spans="1:3" x14ac:dyDescent="0.25">
      <c r="A375" s="198">
        <v>38659</v>
      </c>
      <c r="B375" s="241">
        <v>8.8000000000000007</v>
      </c>
      <c r="C375" s="42">
        <f t="shared" si="5"/>
        <v>357</v>
      </c>
    </row>
    <row r="376" spans="1:3" x14ac:dyDescent="0.25">
      <c r="A376" s="198">
        <v>38666</v>
      </c>
      <c r="B376" s="241">
        <v>8.73</v>
      </c>
      <c r="C376" s="42">
        <f t="shared" si="5"/>
        <v>358</v>
      </c>
    </row>
    <row r="377" spans="1:3" x14ac:dyDescent="0.25">
      <c r="A377" s="198">
        <v>38673</v>
      </c>
      <c r="B377" s="241">
        <v>8.68</v>
      </c>
      <c r="C377" s="42">
        <f t="shared" si="5"/>
        <v>359</v>
      </c>
    </row>
    <row r="378" spans="1:3" x14ac:dyDescent="0.25">
      <c r="A378" s="198">
        <v>38680</v>
      </c>
      <c r="B378" s="241">
        <v>8.61</v>
      </c>
      <c r="C378" s="42">
        <f t="shared" si="5"/>
        <v>360</v>
      </c>
    </row>
    <row r="379" spans="1:3" x14ac:dyDescent="0.25">
      <c r="A379" s="198">
        <v>38687</v>
      </c>
      <c r="B379" s="241">
        <v>8.5</v>
      </c>
      <c r="C379" s="42">
        <f t="shared" si="5"/>
        <v>361</v>
      </c>
    </row>
    <row r="380" spans="1:3" x14ac:dyDescent="0.25">
      <c r="A380" s="198">
        <v>38694</v>
      </c>
      <c r="B380" s="241">
        <v>8.42</v>
      </c>
      <c r="C380" s="42">
        <f t="shared" si="5"/>
        <v>362</v>
      </c>
    </row>
    <row r="381" spans="1:3" x14ac:dyDescent="0.25">
      <c r="A381" s="198">
        <v>38701</v>
      </c>
      <c r="B381" s="241">
        <v>8.14</v>
      </c>
      <c r="C381" s="42">
        <f t="shared" si="5"/>
        <v>363</v>
      </c>
    </row>
    <row r="382" spans="1:3" x14ac:dyDescent="0.25">
      <c r="A382" s="198">
        <v>38708</v>
      </c>
      <c r="B382" s="241">
        <v>8.0299999999999994</v>
      </c>
      <c r="C382" s="42">
        <f t="shared" si="5"/>
        <v>364</v>
      </c>
    </row>
    <row r="383" spans="1:3" x14ac:dyDescent="0.25">
      <c r="A383" s="198">
        <v>38715</v>
      </c>
      <c r="B383" s="241">
        <v>8.02</v>
      </c>
      <c r="C383" s="42">
        <f t="shared" si="5"/>
        <v>365</v>
      </c>
    </row>
    <row r="384" spans="1:3" x14ac:dyDescent="0.25">
      <c r="A384" s="198">
        <v>38722</v>
      </c>
      <c r="B384" s="241">
        <v>7.98</v>
      </c>
      <c r="C384" s="42">
        <f t="shared" si="5"/>
        <v>366</v>
      </c>
    </row>
    <row r="385" spans="1:3" x14ac:dyDescent="0.25">
      <c r="A385" s="198">
        <v>38729</v>
      </c>
      <c r="B385" s="241">
        <v>7.92</v>
      </c>
      <c r="C385" s="42">
        <f t="shared" si="5"/>
        <v>367</v>
      </c>
    </row>
    <row r="386" spans="1:3" x14ac:dyDescent="0.25">
      <c r="A386" s="198">
        <v>38736</v>
      </c>
      <c r="B386" s="241">
        <v>7.89</v>
      </c>
      <c r="C386" s="42">
        <f t="shared" si="5"/>
        <v>368</v>
      </c>
    </row>
    <row r="387" spans="1:3" x14ac:dyDescent="0.25">
      <c r="A387" s="198">
        <v>38743</v>
      </c>
      <c r="B387" s="241">
        <v>7.73</v>
      </c>
      <c r="C387" s="42">
        <f t="shared" si="5"/>
        <v>369</v>
      </c>
    </row>
    <row r="388" spans="1:3" x14ac:dyDescent="0.25">
      <c r="A388" s="198">
        <v>38750</v>
      </c>
      <c r="B388" s="241">
        <v>7.72</v>
      </c>
      <c r="C388" s="42">
        <f t="shared" si="5"/>
        <v>370</v>
      </c>
    </row>
    <row r="389" spans="1:3" x14ac:dyDescent="0.25">
      <c r="A389" s="198">
        <v>38757</v>
      </c>
      <c r="B389" s="241">
        <v>7.68</v>
      </c>
      <c r="C389" s="42">
        <f t="shared" si="5"/>
        <v>371</v>
      </c>
    </row>
    <row r="390" spans="1:3" x14ac:dyDescent="0.25">
      <c r="A390" s="198">
        <v>38764</v>
      </c>
      <c r="B390" s="241">
        <v>7.55</v>
      </c>
      <c r="C390" s="42">
        <f t="shared" si="5"/>
        <v>372</v>
      </c>
    </row>
    <row r="391" spans="1:3" x14ac:dyDescent="0.25">
      <c r="A391" s="198">
        <v>38771</v>
      </c>
      <c r="B391" s="241">
        <v>7.48</v>
      </c>
      <c r="C391" s="42">
        <f t="shared" si="5"/>
        <v>373</v>
      </c>
    </row>
    <row r="392" spans="1:3" x14ac:dyDescent="0.25">
      <c r="A392" s="198">
        <v>38778</v>
      </c>
      <c r="B392" s="241">
        <v>7.42</v>
      </c>
      <c r="C392" s="42">
        <f t="shared" si="5"/>
        <v>374</v>
      </c>
    </row>
    <row r="393" spans="1:3" x14ac:dyDescent="0.25">
      <c r="A393" s="198">
        <v>38785</v>
      </c>
      <c r="B393" s="241">
        <v>7.46</v>
      </c>
      <c r="C393" s="42">
        <f t="shared" si="5"/>
        <v>375</v>
      </c>
    </row>
    <row r="394" spans="1:3" x14ac:dyDescent="0.25">
      <c r="A394" s="198">
        <v>38792</v>
      </c>
      <c r="B394" s="241">
        <v>7.37</v>
      </c>
      <c r="C394" s="42">
        <f t="shared" si="5"/>
        <v>376</v>
      </c>
    </row>
    <row r="395" spans="1:3" x14ac:dyDescent="0.25">
      <c r="A395" s="198">
        <v>38799</v>
      </c>
      <c r="B395" s="241">
        <v>7.31</v>
      </c>
      <c r="C395" s="42">
        <f t="shared" si="5"/>
        <v>377</v>
      </c>
    </row>
    <row r="396" spans="1:3" x14ac:dyDescent="0.25">
      <c r="A396" s="198">
        <v>38806</v>
      </c>
      <c r="B396" s="241">
        <v>7.27</v>
      </c>
      <c r="C396" s="42">
        <f t="shared" si="5"/>
        <v>378</v>
      </c>
    </row>
    <row r="397" spans="1:3" x14ac:dyDescent="0.25">
      <c r="A397" s="198">
        <v>38813</v>
      </c>
      <c r="B397" s="241">
        <v>7.22</v>
      </c>
      <c r="C397" s="42">
        <f t="shared" si="5"/>
        <v>379</v>
      </c>
    </row>
    <row r="398" spans="1:3" x14ac:dyDescent="0.25">
      <c r="A398" s="198">
        <v>38819</v>
      </c>
      <c r="B398" s="241">
        <v>7.22</v>
      </c>
      <c r="C398" s="42">
        <f t="shared" si="5"/>
        <v>380</v>
      </c>
    </row>
    <row r="399" spans="1:3" x14ac:dyDescent="0.25">
      <c r="A399" s="198">
        <v>38827</v>
      </c>
      <c r="B399" s="241">
        <v>7.21</v>
      </c>
      <c r="C399" s="42">
        <f t="shared" si="5"/>
        <v>381</v>
      </c>
    </row>
    <row r="400" spans="1:3" x14ac:dyDescent="0.25">
      <c r="A400" s="198">
        <v>38834</v>
      </c>
      <c r="B400" s="241">
        <v>7.03</v>
      </c>
      <c r="C400" s="42">
        <f t="shared" si="5"/>
        <v>382</v>
      </c>
    </row>
    <row r="401" spans="1:3" x14ac:dyDescent="0.25">
      <c r="A401" s="198">
        <v>38841</v>
      </c>
      <c r="B401" s="241">
        <v>7.03</v>
      </c>
      <c r="C401" s="42">
        <f t="shared" si="5"/>
        <v>383</v>
      </c>
    </row>
    <row r="402" spans="1:3" x14ac:dyDescent="0.25">
      <c r="A402" s="198">
        <v>38848</v>
      </c>
      <c r="B402" s="241">
        <v>7.02</v>
      </c>
      <c r="C402" s="42">
        <f t="shared" si="5"/>
        <v>384</v>
      </c>
    </row>
    <row r="403" spans="1:3" x14ac:dyDescent="0.25">
      <c r="A403" s="198">
        <v>38855</v>
      </c>
      <c r="B403" s="241">
        <v>7.01</v>
      </c>
      <c r="C403" s="42">
        <f t="shared" si="5"/>
        <v>385</v>
      </c>
    </row>
    <row r="404" spans="1:3" x14ac:dyDescent="0.25">
      <c r="A404" s="198">
        <v>38862</v>
      </c>
      <c r="B404" s="241">
        <v>7.01</v>
      </c>
      <c r="C404" s="42">
        <f t="shared" si="5"/>
        <v>386</v>
      </c>
    </row>
    <row r="405" spans="1:3" x14ac:dyDescent="0.25">
      <c r="A405" s="198">
        <v>38869</v>
      </c>
      <c r="B405" s="241">
        <v>7.02</v>
      </c>
      <c r="C405" s="42">
        <f t="shared" ref="C405:C468" si="6">+C404+1</f>
        <v>387</v>
      </c>
    </row>
    <row r="406" spans="1:3" x14ac:dyDescent="0.25">
      <c r="A406" s="198">
        <v>38876</v>
      </c>
      <c r="B406" s="241">
        <v>7.01</v>
      </c>
      <c r="C406" s="42">
        <f t="shared" si="6"/>
        <v>388</v>
      </c>
    </row>
    <row r="407" spans="1:3" x14ac:dyDescent="0.25">
      <c r="A407" s="198">
        <v>38883</v>
      </c>
      <c r="B407" s="241">
        <v>7.02</v>
      </c>
      <c r="C407" s="42">
        <f t="shared" si="6"/>
        <v>389</v>
      </c>
    </row>
    <row r="408" spans="1:3" x14ac:dyDescent="0.25">
      <c r="A408" s="198">
        <v>38890</v>
      </c>
      <c r="B408" s="241">
        <v>7.03</v>
      </c>
      <c r="C408" s="42">
        <f t="shared" si="6"/>
        <v>390</v>
      </c>
    </row>
    <row r="409" spans="1:3" x14ac:dyDescent="0.25">
      <c r="A409" s="198">
        <v>38897</v>
      </c>
      <c r="B409" s="241">
        <v>7.02</v>
      </c>
      <c r="C409" s="42">
        <f t="shared" si="6"/>
        <v>391</v>
      </c>
    </row>
    <row r="410" spans="1:3" x14ac:dyDescent="0.25">
      <c r="A410" s="198">
        <v>38904</v>
      </c>
      <c r="B410" s="241">
        <v>7.02</v>
      </c>
      <c r="C410" s="42">
        <f t="shared" si="6"/>
        <v>392</v>
      </c>
    </row>
    <row r="411" spans="1:3" x14ac:dyDescent="0.25">
      <c r="A411" s="198">
        <v>38911</v>
      </c>
      <c r="B411" s="241">
        <v>7.04</v>
      </c>
      <c r="C411" s="42">
        <f t="shared" si="6"/>
        <v>393</v>
      </c>
    </row>
    <row r="412" spans="1:3" x14ac:dyDescent="0.25">
      <c r="A412" s="198">
        <v>38918</v>
      </c>
      <c r="B412" s="241">
        <v>7.05</v>
      </c>
      <c r="C412" s="42">
        <f t="shared" si="6"/>
        <v>394</v>
      </c>
    </row>
    <row r="413" spans="1:3" x14ac:dyDescent="0.25">
      <c r="A413" s="198">
        <v>38925</v>
      </c>
      <c r="B413" s="241">
        <v>7.02</v>
      </c>
      <c r="C413" s="42">
        <f t="shared" si="6"/>
        <v>395</v>
      </c>
    </row>
    <row r="414" spans="1:3" x14ac:dyDescent="0.25">
      <c r="A414" s="198">
        <v>38932</v>
      </c>
      <c r="B414" s="241">
        <v>7.05</v>
      </c>
      <c r="C414" s="42">
        <f t="shared" si="6"/>
        <v>396</v>
      </c>
    </row>
    <row r="415" spans="1:3" x14ac:dyDescent="0.25">
      <c r="A415" s="198">
        <v>38939</v>
      </c>
      <c r="B415" s="241">
        <v>7.03</v>
      </c>
      <c r="C415" s="42">
        <f t="shared" si="6"/>
        <v>397</v>
      </c>
    </row>
    <row r="416" spans="1:3" x14ac:dyDescent="0.25">
      <c r="A416" s="198">
        <v>38946</v>
      </c>
      <c r="B416" s="241">
        <v>7.03</v>
      </c>
      <c r="C416" s="42">
        <f t="shared" si="6"/>
        <v>398</v>
      </c>
    </row>
    <row r="417" spans="1:3" x14ac:dyDescent="0.25">
      <c r="A417" s="198">
        <v>38953</v>
      </c>
      <c r="B417" s="241">
        <v>7.03</v>
      </c>
      <c r="C417" s="42">
        <f t="shared" si="6"/>
        <v>399</v>
      </c>
    </row>
    <row r="418" spans="1:3" x14ac:dyDescent="0.25">
      <c r="A418" s="198">
        <v>38960</v>
      </c>
      <c r="B418" s="241">
        <v>7.02</v>
      </c>
      <c r="C418" s="42">
        <f t="shared" si="6"/>
        <v>400</v>
      </c>
    </row>
    <row r="419" spans="1:3" x14ac:dyDescent="0.25">
      <c r="A419" s="198">
        <v>38967</v>
      </c>
      <c r="B419" s="241">
        <v>7.04</v>
      </c>
      <c r="C419" s="42">
        <f t="shared" si="6"/>
        <v>401</v>
      </c>
    </row>
    <row r="420" spans="1:3" x14ac:dyDescent="0.25">
      <c r="A420" s="198">
        <v>38974</v>
      </c>
      <c r="B420" s="241">
        <v>7.08</v>
      </c>
      <c r="C420" s="42">
        <f t="shared" si="6"/>
        <v>402</v>
      </c>
    </row>
    <row r="421" spans="1:3" x14ac:dyDescent="0.25">
      <c r="A421" s="198">
        <v>38981</v>
      </c>
      <c r="B421" s="241">
        <v>7.05</v>
      </c>
      <c r="C421" s="42">
        <f t="shared" si="6"/>
        <v>403</v>
      </c>
    </row>
    <row r="422" spans="1:3" x14ac:dyDescent="0.25">
      <c r="A422" s="198">
        <v>38988</v>
      </c>
      <c r="B422" s="241">
        <v>7.05</v>
      </c>
      <c r="C422" s="42">
        <f t="shared" si="6"/>
        <v>404</v>
      </c>
    </row>
    <row r="423" spans="1:3" x14ac:dyDescent="0.25">
      <c r="A423" s="198">
        <v>38995</v>
      </c>
      <c r="B423" s="241">
        <v>7.05</v>
      </c>
      <c r="C423" s="42">
        <f t="shared" si="6"/>
        <v>405</v>
      </c>
    </row>
    <row r="424" spans="1:3" x14ac:dyDescent="0.25">
      <c r="A424" s="198">
        <v>39002</v>
      </c>
      <c r="B424" s="241">
        <v>7.06</v>
      </c>
      <c r="C424" s="42">
        <f t="shared" si="6"/>
        <v>406</v>
      </c>
    </row>
    <row r="425" spans="1:3" x14ac:dyDescent="0.25">
      <c r="A425" s="198">
        <v>39009</v>
      </c>
      <c r="B425" s="241">
        <v>7.05</v>
      </c>
      <c r="C425" s="42">
        <f t="shared" si="6"/>
        <v>407</v>
      </c>
    </row>
    <row r="426" spans="1:3" x14ac:dyDescent="0.25">
      <c r="A426" s="198">
        <v>39016</v>
      </c>
      <c r="B426" s="241">
        <v>7.04</v>
      </c>
      <c r="C426" s="42">
        <f t="shared" si="6"/>
        <v>408</v>
      </c>
    </row>
    <row r="427" spans="1:3" x14ac:dyDescent="0.25">
      <c r="A427" s="198">
        <v>39022</v>
      </c>
      <c r="B427" s="241">
        <v>7.04</v>
      </c>
      <c r="C427" s="42">
        <f t="shared" si="6"/>
        <v>409</v>
      </c>
    </row>
    <row r="428" spans="1:3" x14ac:dyDescent="0.25">
      <c r="A428" s="198">
        <v>39030</v>
      </c>
      <c r="B428" s="241">
        <v>7.04</v>
      </c>
      <c r="C428" s="42">
        <f t="shared" si="6"/>
        <v>410</v>
      </c>
    </row>
    <row r="429" spans="1:3" x14ac:dyDescent="0.25">
      <c r="A429" s="198">
        <v>39037</v>
      </c>
      <c r="B429" s="241">
        <v>7.04</v>
      </c>
      <c r="C429" s="42">
        <f t="shared" si="6"/>
        <v>411</v>
      </c>
    </row>
    <row r="430" spans="1:3" x14ac:dyDescent="0.25">
      <c r="A430" s="198">
        <v>39044</v>
      </c>
      <c r="B430" s="241">
        <v>7.04</v>
      </c>
      <c r="C430" s="42">
        <f t="shared" si="6"/>
        <v>412</v>
      </c>
    </row>
    <row r="431" spans="1:3" x14ac:dyDescent="0.25">
      <c r="A431" s="198">
        <v>39051</v>
      </c>
      <c r="B431" s="241">
        <v>7.05</v>
      </c>
      <c r="C431" s="42">
        <f t="shared" si="6"/>
        <v>413</v>
      </c>
    </row>
    <row r="432" spans="1:3" x14ac:dyDescent="0.25">
      <c r="A432" s="198">
        <v>39058</v>
      </c>
      <c r="B432" s="241">
        <v>7.04</v>
      </c>
      <c r="C432" s="42">
        <f t="shared" si="6"/>
        <v>414</v>
      </c>
    </row>
    <row r="433" spans="1:3" x14ac:dyDescent="0.25">
      <c r="A433" s="198">
        <v>39065</v>
      </c>
      <c r="B433" s="241">
        <v>7.03</v>
      </c>
      <c r="C433" s="42">
        <f t="shared" si="6"/>
        <v>415</v>
      </c>
    </row>
    <row r="434" spans="1:3" x14ac:dyDescent="0.25">
      <c r="A434" s="198">
        <v>39072</v>
      </c>
      <c r="B434" s="241">
        <v>7.05</v>
      </c>
      <c r="C434" s="42">
        <f t="shared" si="6"/>
        <v>416</v>
      </c>
    </row>
    <row r="435" spans="1:3" x14ac:dyDescent="0.25">
      <c r="A435" s="198">
        <v>39079</v>
      </c>
      <c r="B435" s="241">
        <v>7.02</v>
      </c>
      <c r="C435" s="42">
        <f t="shared" si="6"/>
        <v>417</v>
      </c>
    </row>
    <row r="436" spans="1:3" x14ac:dyDescent="0.25">
      <c r="A436" s="198">
        <v>39086</v>
      </c>
      <c r="B436" s="241">
        <v>7.01</v>
      </c>
      <c r="C436" s="42">
        <f t="shared" si="6"/>
        <v>418</v>
      </c>
    </row>
    <row r="437" spans="1:3" x14ac:dyDescent="0.25">
      <c r="A437" s="198">
        <v>39093</v>
      </c>
      <c r="B437" s="241">
        <v>7.02</v>
      </c>
      <c r="C437" s="42">
        <f t="shared" si="6"/>
        <v>419</v>
      </c>
    </row>
    <row r="438" spans="1:3" x14ac:dyDescent="0.25">
      <c r="A438" s="198">
        <v>39100</v>
      </c>
      <c r="B438" s="241">
        <v>7.05</v>
      </c>
      <c r="C438" s="42">
        <f t="shared" si="6"/>
        <v>420</v>
      </c>
    </row>
    <row r="439" spans="1:3" x14ac:dyDescent="0.25">
      <c r="A439" s="198">
        <v>39107</v>
      </c>
      <c r="B439" s="241">
        <v>7.06</v>
      </c>
      <c r="C439" s="42">
        <f t="shared" si="6"/>
        <v>421</v>
      </c>
    </row>
    <row r="440" spans="1:3" x14ac:dyDescent="0.25">
      <c r="A440" s="198">
        <v>39114</v>
      </c>
      <c r="B440" s="241">
        <v>7.05</v>
      </c>
      <c r="C440" s="42">
        <f t="shared" si="6"/>
        <v>422</v>
      </c>
    </row>
    <row r="441" spans="1:3" x14ac:dyDescent="0.25">
      <c r="A441" s="198">
        <v>39121</v>
      </c>
      <c r="B441" s="241">
        <v>7.05</v>
      </c>
      <c r="C441" s="42">
        <f t="shared" si="6"/>
        <v>423</v>
      </c>
    </row>
    <row r="442" spans="1:3" x14ac:dyDescent="0.25">
      <c r="A442" s="198">
        <v>39128</v>
      </c>
      <c r="B442" s="241">
        <v>7.03</v>
      </c>
      <c r="C442" s="42">
        <f t="shared" si="6"/>
        <v>424</v>
      </c>
    </row>
    <row r="443" spans="1:3" x14ac:dyDescent="0.25">
      <c r="A443" s="198">
        <v>39135</v>
      </c>
      <c r="B443" s="241">
        <v>7.03</v>
      </c>
      <c r="C443" s="42">
        <f t="shared" si="6"/>
        <v>425</v>
      </c>
    </row>
    <row r="444" spans="1:3" x14ac:dyDescent="0.25">
      <c r="A444" s="198">
        <v>39142</v>
      </c>
      <c r="B444" s="241">
        <v>7.05</v>
      </c>
      <c r="C444" s="42">
        <f t="shared" si="6"/>
        <v>426</v>
      </c>
    </row>
    <row r="445" spans="1:3" x14ac:dyDescent="0.25">
      <c r="A445" s="198">
        <v>39149</v>
      </c>
      <c r="B445" s="241">
        <v>7.05</v>
      </c>
      <c r="C445" s="42">
        <f t="shared" si="6"/>
        <v>427</v>
      </c>
    </row>
    <row r="446" spans="1:3" x14ac:dyDescent="0.25">
      <c r="A446" s="198">
        <v>39156</v>
      </c>
      <c r="B446" s="241">
        <v>7.05</v>
      </c>
      <c r="C446" s="42">
        <f t="shared" si="6"/>
        <v>428</v>
      </c>
    </row>
    <row r="447" spans="1:3" x14ac:dyDescent="0.25">
      <c r="A447" s="198">
        <v>39163</v>
      </c>
      <c r="B447" s="241">
        <v>7.04</v>
      </c>
      <c r="C447" s="42">
        <f t="shared" si="6"/>
        <v>429</v>
      </c>
    </row>
    <row r="448" spans="1:3" x14ac:dyDescent="0.25">
      <c r="A448" s="198">
        <v>39170</v>
      </c>
      <c r="B448" s="241">
        <v>7.03</v>
      </c>
      <c r="C448" s="42">
        <f t="shared" si="6"/>
        <v>430</v>
      </c>
    </row>
    <row r="449" spans="1:3" x14ac:dyDescent="0.25">
      <c r="A449" s="198">
        <v>39176</v>
      </c>
      <c r="B449" s="241">
        <v>7.02</v>
      </c>
      <c r="C449" s="42">
        <f t="shared" si="6"/>
        <v>431</v>
      </c>
    </row>
    <row r="450" spans="1:3" x14ac:dyDescent="0.25">
      <c r="A450" s="198">
        <v>39184</v>
      </c>
      <c r="B450" s="241">
        <v>7</v>
      </c>
      <c r="C450" s="42">
        <f t="shared" si="6"/>
        <v>432</v>
      </c>
    </row>
    <row r="451" spans="1:3" x14ac:dyDescent="0.25">
      <c r="A451" s="198">
        <v>39191</v>
      </c>
      <c r="B451" s="241">
        <v>7</v>
      </c>
      <c r="C451" s="42">
        <f t="shared" si="6"/>
        <v>433</v>
      </c>
    </row>
    <row r="452" spans="1:3" x14ac:dyDescent="0.25">
      <c r="A452" s="198">
        <v>39198</v>
      </c>
      <c r="B452" s="241">
        <v>7</v>
      </c>
      <c r="C452" s="42">
        <f t="shared" si="6"/>
        <v>434</v>
      </c>
    </row>
    <row r="453" spans="1:3" x14ac:dyDescent="0.25">
      <c r="A453" s="198">
        <v>39205</v>
      </c>
      <c r="B453" s="241">
        <v>7.25</v>
      </c>
      <c r="C453" s="42">
        <f t="shared" si="6"/>
        <v>435</v>
      </c>
    </row>
    <row r="454" spans="1:3" x14ac:dyDescent="0.25">
      <c r="A454" s="198">
        <v>39212</v>
      </c>
      <c r="B454" s="241">
        <v>7.24</v>
      </c>
      <c r="C454" s="42">
        <f t="shared" si="6"/>
        <v>436</v>
      </c>
    </row>
    <row r="455" spans="1:3" x14ac:dyDescent="0.25">
      <c r="A455" s="198">
        <v>39219</v>
      </c>
      <c r="B455" s="241">
        <v>7.23</v>
      </c>
      <c r="C455" s="42">
        <f t="shared" si="6"/>
        <v>437</v>
      </c>
    </row>
    <row r="456" spans="1:3" x14ac:dyDescent="0.25">
      <c r="A456" s="198">
        <v>39226</v>
      </c>
      <c r="B456" s="241">
        <v>7.24</v>
      </c>
      <c r="C456" s="42">
        <f t="shared" si="6"/>
        <v>438</v>
      </c>
    </row>
    <row r="457" spans="1:3" x14ac:dyDescent="0.25">
      <c r="A457" s="198">
        <v>39233</v>
      </c>
      <c r="B457" s="241">
        <v>7.22</v>
      </c>
      <c r="C457" s="42">
        <f t="shared" si="6"/>
        <v>439</v>
      </c>
    </row>
    <row r="458" spans="1:3" x14ac:dyDescent="0.25">
      <c r="A458" s="198">
        <v>39240</v>
      </c>
      <c r="B458" s="241">
        <v>7.21</v>
      </c>
      <c r="C458" s="42">
        <f t="shared" si="6"/>
        <v>440</v>
      </c>
    </row>
    <row r="459" spans="1:3" x14ac:dyDescent="0.25">
      <c r="A459" s="198">
        <v>39247</v>
      </c>
      <c r="B459" s="241">
        <v>7.2</v>
      </c>
      <c r="C459" s="42">
        <f t="shared" si="6"/>
        <v>441</v>
      </c>
    </row>
    <row r="460" spans="1:3" x14ac:dyDescent="0.25">
      <c r="A460" s="198">
        <v>39254</v>
      </c>
      <c r="B460" s="241">
        <v>7.18</v>
      </c>
      <c r="C460" s="42">
        <f t="shared" si="6"/>
        <v>442</v>
      </c>
    </row>
    <row r="461" spans="1:3" x14ac:dyDescent="0.25">
      <c r="A461" s="198">
        <v>39261</v>
      </c>
      <c r="B461" s="241">
        <v>7.19</v>
      </c>
      <c r="C461" s="42">
        <f t="shared" si="6"/>
        <v>443</v>
      </c>
    </row>
    <row r="462" spans="1:3" x14ac:dyDescent="0.25">
      <c r="A462" s="198">
        <v>39268</v>
      </c>
      <c r="B462" s="241">
        <v>7.18</v>
      </c>
      <c r="C462" s="42">
        <f t="shared" si="6"/>
        <v>444</v>
      </c>
    </row>
    <row r="463" spans="1:3" x14ac:dyDescent="0.25">
      <c r="A463" s="198">
        <v>39275</v>
      </c>
      <c r="B463" s="241">
        <v>7.18</v>
      </c>
      <c r="C463" s="42">
        <f t="shared" si="6"/>
        <v>445</v>
      </c>
    </row>
    <row r="464" spans="1:3" x14ac:dyDescent="0.25">
      <c r="A464" s="198">
        <v>39282</v>
      </c>
      <c r="B464" s="241">
        <v>7.19</v>
      </c>
      <c r="C464" s="42">
        <f t="shared" si="6"/>
        <v>446</v>
      </c>
    </row>
    <row r="465" spans="1:3" x14ac:dyDescent="0.25">
      <c r="A465" s="198">
        <v>39289</v>
      </c>
      <c r="B465" s="241">
        <v>7.19</v>
      </c>
      <c r="C465" s="42">
        <f t="shared" si="6"/>
        <v>447</v>
      </c>
    </row>
    <row r="466" spans="1:3" x14ac:dyDescent="0.25">
      <c r="A466" s="198">
        <v>39296</v>
      </c>
      <c r="B466" s="241">
        <v>7.19</v>
      </c>
      <c r="C466" s="42">
        <f t="shared" si="6"/>
        <v>448</v>
      </c>
    </row>
    <row r="467" spans="1:3" x14ac:dyDescent="0.25">
      <c r="A467" s="198">
        <v>39303</v>
      </c>
      <c r="B467" s="241">
        <v>7.19</v>
      </c>
      <c r="C467" s="42">
        <f t="shared" si="6"/>
        <v>449</v>
      </c>
    </row>
    <row r="468" spans="1:3" x14ac:dyDescent="0.25">
      <c r="A468" s="198">
        <v>39310</v>
      </c>
      <c r="B468" s="241">
        <v>7.21</v>
      </c>
      <c r="C468" s="42">
        <f t="shared" si="6"/>
        <v>450</v>
      </c>
    </row>
    <row r="469" spans="1:3" x14ac:dyDescent="0.25">
      <c r="A469" s="198">
        <v>39317</v>
      </c>
      <c r="B469" s="241">
        <v>7.2</v>
      </c>
      <c r="C469" s="42">
        <f t="shared" ref="C469:C532" si="7">+C468+1</f>
        <v>451</v>
      </c>
    </row>
    <row r="470" spans="1:3" x14ac:dyDescent="0.25">
      <c r="A470" s="198">
        <v>39324</v>
      </c>
      <c r="B470" s="241">
        <v>7.23</v>
      </c>
      <c r="C470" s="42">
        <f t="shared" si="7"/>
        <v>452</v>
      </c>
    </row>
    <row r="471" spans="1:3" x14ac:dyDescent="0.25">
      <c r="A471" s="198">
        <v>39331</v>
      </c>
      <c r="B471" s="241">
        <v>7.21</v>
      </c>
      <c r="C471" s="42">
        <f t="shared" si="7"/>
        <v>453</v>
      </c>
    </row>
    <row r="472" spans="1:3" x14ac:dyDescent="0.25">
      <c r="A472" s="198">
        <v>39338</v>
      </c>
      <c r="B472" s="241">
        <v>7.2</v>
      </c>
      <c r="C472" s="42">
        <f t="shared" si="7"/>
        <v>454</v>
      </c>
    </row>
    <row r="473" spans="1:3" x14ac:dyDescent="0.25">
      <c r="A473" s="198">
        <v>39345</v>
      </c>
      <c r="B473" s="241">
        <v>7.22</v>
      </c>
      <c r="C473" s="42">
        <f t="shared" si="7"/>
        <v>455</v>
      </c>
    </row>
    <row r="474" spans="1:3" x14ac:dyDescent="0.25">
      <c r="A474" s="198">
        <v>39352</v>
      </c>
      <c r="B474" s="241">
        <v>7.19</v>
      </c>
      <c r="C474" s="42">
        <f t="shared" si="7"/>
        <v>456</v>
      </c>
    </row>
    <row r="475" spans="1:3" x14ac:dyDescent="0.25">
      <c r="A475" s="198">
        <v>39359</v>
      </c>
      <c r="B475" s="241">
        <v>7.19</v>
      </c>
      <c r="C475" s="42">
        <f t="shared" si="7"/>
        <v>457</v>
      </c>
    </row>
    <row r="476" spans="1:3" x14ac:dyDescent="0.25">
      <c r="A476" s="198">
        <v>39366</v>
      </c>
      <c r="B476" s="241">
        <v>7.21</v>
      </c>
      <c r="C476" s="42">
        <f t="shared" si="7"/>
        <v>458</v>
      </c>
    </row>
    <row r="477" spans="1:3" x14ac:dyDescent="0.25">
      <c r="A477" s="198">
        <v>39373</v>
      </c>
      <c r="B477" s="241">
        <v>7.2</v>
      </c>
      <c r="C477" s="42">
        <f t="shared" si="7"/>
        <v>459</v>
      </c>
    </row>
    <row r="478" spans="1:3" x14ac:dyDescent="0.25">
      <c r="A478" s="198">
        <v>39380</v>
      </c>
      <c r="B478" s="241">
        <v>7.2</v>
      </c>
      <c r="C478" s="42">
        <f t="shared" si="7"/>
        <v>460</v>
      </c>
    </row>
    <row r="479" spans="1:3" x14ac:dyDescent="0.25">
      <c r="A479" s="198">
        <v>39387</v>
      </c>
      <c r="B479" s="241">
        <v>7.45</v>
      </c>
      <c r="C479" s="42">
        <f t="shared" si="7"/>
        <v>461</v>
      </c>
    </row>
    <row r="480" spans="1:3" x14ac:dyDescent="0.25">
      <c r="A480" s="198">
        <v>39394</v>
      </c>
      <c r="B480" s="241">
        <v>7.43</v>
      </c>
      <c r="C480" s="42">
        <f t="shared" si="7"/>
        <v>462</v>
      </c>
    </row>
    <row r="481" spans="1:3" x14ac:dyDescent="0.25">
      <c r="A481" s="198">
        <v>39401</v>
      </c>
      <c r="B481" s="241">
        <v>7.41</v>
      </c>
      <c r="C481" s="42">
        <f t="shared" si="7"/>
        <v>463</v>
      </c>
    </row>
    <row r="482" spans="1:3" x14ac:dyDescent="0.25">
      <c r="A482" s="198">
        <v>39408</v>
      </c>
      <c r="B482" s="241">
        <v>7.46</v>
      </c>
      <c r="C482" s="42">
        <f t="shared" si="7"/>
        <v>464</v>
      </c>
    </row>
    <row r="483" spans="1:3" x14ac:dyDescent="0.25">
      <c r="A483" s="198">
        <v>39415</v>
      </c>
      <c r="B483" s="241">
        <v>7.44</v>
      </c>
      <c r="C483" s="42">
        <f t="shared" si="7"/>
        <v>465</v>
      </c>
    </row>
    <row r="484" spans="1:3" x14ac:dyDescent="0.25">
      <c r="A484" s="198">
        <v>39422</v>
      </c>
      <c r="B484" s="241">
        <v>7.44</v>
      </c>
      <c r="C484" s="42">
        <f t="shared" si="7"/>
        <v>466</v>
      </c>
    </row>
    <row r="485" spans="1:3" x14ac:dyDescent="0.25">
      <c r="A485" s="198">
        <v>39429</v>
      </c>
      <c r="B485" s="241">
        <v>7.43</v>
      </c>
      <c r="C485" s="42">
        <f t="shared" si="7"/>
        <v>467</v>
      </c>
    </row>
    <row r="486" spans="1:3" x14ac:dyDescent="0.25">
      <c r="A486" s="198">
        <v>39436</v>
      </c>
      <c r="B486" s="241">
        <v>7.44</v>
      </c>
      <c r="C486" s="42">
        <f t="shared" si="7"/>
        <v>468</v>
      </c>
    </row>
    <row r="487" spans="1:3" x14ac:dyDescent="0.25">
      <c r="A487" s="198">
        <v>39443</v>
      </c>
      <c r="B487" s="241">
        <v>7.44</v>
      </c>
      <c r="C487" s="42">
        <f t="shared" si="7"/>
        <v>469</v>
      </c>
    </row>
    <row r="488" spans="1:3" x14ac:dyDescent="0.25">
      <c r="A488" s="198">
        <v>39450</v>
      </c>
      <c r="B488" s="241">
        <v>7.43</v>
      </c>
      <c r="C488" s="42">
        <f t="shared" si="7"/>
        <v>470</v>
      </c>
    </row>
    <row r="489" spans="1:3" x14ac:dyDescent="0.25">
      <c r="A489" s="198">
        <v>39457</v>
      </c>
      <c r="B489" s="241">
        <v>7.42</v>
      </c>
      <c r="C489" s="42">
        <f t="shared" si="7"/>
        <v>471</v>
      </c>
    </row>
    <row r="490" spans="1:3" x14ac:dyDescent="0.25">
      <c r="A490" s="198">
        <v>39464</v>
      </c>
      <c r="B490" s="241">
        <v>7.41</v>
      </c>
      <c r="C490" s="42">
        <f t="shared" si="7"/>
        <v>472</v>
      </c>
    </row>
    <row r="491" spans="1:3" x14ac:dyDescent="0.25">
      <c r="A491" s="198">
        <v>39471</v>
      </c>
      <c r="B491" s="241">
        <v>7.39</v>
      </c>
      <c r="C491" s="42">
        <f t="shared" si="7"/>
        <v>473</v>
      </c>
    </row>
    <row r="492" spans="1:3" x14ac:dyDescent="0.25">
      <c r="A492" s="198">
        <v>39478</v>
      </c>
      <c r="B492" s="241">
        <v>7.43</v>
      </c>
      <c r="C492" s="42">
        <f t="shared" si="7"/>
        <v>474</v>
      </c>
    </row>
    <row r="493" spans="1:3" x14ac:dyDescent="0.25">
      <c r="A493" s="198">
        <v>39485</v>
      </c>
      <c r="B493" s="241">
        <v>7.42</v>
      </c>
      <c r="C493" s="42">
        <f t="shared" si="7"/>
        <v>475</v>
      </c>
    </row>
    <row r="494" spans="1:3" x14ac:dyDescent="0.25">
      <c r="A494" s="198">
        <v>39492</v>
      </c>
      <c r="B494" s="241">
        <v>7.44</v>
      </c>
      <c r="C494" s="42">
        <f t="shared" si="7"/>
        <v>476</v>
      </c>
    </row>
    <row r="495" spans="1:3" x14ac:dyDescent="0.25">
      <c r="A495" s="198">
        <v>39499</v>
      </c>
      <c r="B495" s="241">
        <v>7.43</v>
      </c>
      <c r="C495" s="42">
        <f t="shared" si="7"/>
        <v>477</v>
      </c>
    </row>
    <row r="496" spans="1:3" x14ac:dyDescent="0.25">
      <c r="A496" s="198">
        <v>39506</v>
      </c>
      <c r="B496" s="241">
        <v>7.42</v>
      </c>
      <c r="C496" s="42">
        <f t="shared" si="7"/>
        <v>478</v>
      </c>
    </row>
    <row r="497" spans="1:3" x14ac:dyDescent="0.25">
      <c r="A497" s="198">
        <v>39513</v>
      </c>
      <c r="B497" s="241">
        <v>7.42</v>
      </c>
      <c r="C497" s="42">
        <f t="shared" si="7"/>
        <v>479</v>
      </c>
    </row>
    <row r="498" spans="1:3" x14ac:dyDescent="0.25">
      <c r="A498" s="198">
        <v>39520</v>
      </c>
      <c r="B498" s="241">
        <v>7.45</v>
      </c>
      <c r="C498" s="42">
        <f t="shared" si="7"/>
        <v>480</v>
      </c>
    </row>
    <row r="499" spans="1:3" x14ac:dyDescent="0.25">
      <c r="A499" s="198">
        <v>39526</v>
      </c>
      <c r="B499" s="241">
        <v>7.43</v>
      </c>
      <c r="C499" s="42">
        <f t="shared" si="7"/>
        <v>481</v>
      </c>
    </row>
    <row r="500" spans="1:3" x14ac:dyDescent="0.25">
      <c r="A500" s="198">
        <v>39534</v>
      </c>
      <c r="B500" s="241">
        <v>7.43</v>
      </c>
      <c r="C500" s="42">
        <f t="shared" si="7"/>
        <v>482</v>
      </c>
    </row>
    <row r="501" spans="1:3" x14ac:dyDescent="0.25">
      <c r="A501" s="198">
        <v>39541</v>
      </c>
      <c r="B501" s="241">
        <v>7.44</v>
      </c>
      <c r="C501" s="42">
        <f t="shared" si="7"/>
        <v>483</v>
      </c>
    </row>
    <row r="502" spans="1:3" x14ac:dyDescent="0.25">
      <c r="A502" s="198">
        <v>39548</v>
      </c>
      <c r="B502" s="241">
        <v>7.46</v>
      </c>
      <c r="C502" s="42">
        <f t="shared" si="7"/>
        <v>484</v>
      </c>
    </row>
    <row r="503" spans="1:3" x14ac:dyDescent="0.25">
      <c r="A503" s="198">
        <v>39555</v>
      </c>
      <c r="B503" s="241">
        <v>7.44</v>
      </c>
      <c r="C503" s="42">
        <f t="shared" si="7"/>
        <v>485</v>
      </c>
    </row>
    <row r="504" spans="1:3" x14ac:dyDescent="0.25">
      <c r="A504" s="198">
        <v>39562</v>
      </c>
      <c r="B504" s="241">
        <v>7.44</v>
      </c>
      <c r="C504" s="42">
        <f t="shared" si="7"/>
        <v>486</v>
      </c>
    </row>
    <row r="505" spans="1:3" x14ac:dyDescent="0.25">
      <c r="A505" s="198">
        <v>39568</v>
      </c>
      <c r="B505" s="241">
        <v>7.43</v>
      </c>
      <c r="C505" s="42">
        <f t="shared" si="7"/>
        <v>487</v>
      </c>
    </row>
    <row r="506" spans="1:3" x14ac:dyDescent="0.25">
      <c r="A506" s="198">
        <v>39576</v>
      </c>
      <c r="B506" s="241">
        <v>7.43</v>
      </c>
      <c r="C506" s="42">
        <f t="shared" si="7"/>
        <v>488</v>
      </c>
    </row>
    <row r="507" spans="1:3" x14ac:dyDescent="0.25">
      <c r="A507" s="198">
        <v>39583</v>
      </c>
      <c r="B507" s="241">
        <v>7.44</v>
      </c>
      <c r="C507" s="42">
        <f t="shared" si="7"/>
        <v>489</v>
      </c>
    </row>
    <row r="508" spans="1:3" x14ac:dyDescent="0.25">
      <c r="A508" s="198">
        <v>39590</v>
      </c>
      <c r="B508" s="241">
        <v>7.44</v>
      </c>
      <c r="C508" s="42">
        <f t="shared" si="7"/>
        <v>490</v>
      </c>
    </row>
    <row r="509" spans="1:3" x14ac:dyDescent="0.25">
      <c r="A509" s="198">
        <v>39597</v>
      </c>
      <c r="B509" s="241">
        <v>7.44</v>
      </c>
      <c r="C509" s="42">
        <f t="shared" si="7"/>
        <v>491</v>
      </c>
    </row>
    <row r="510" spans="1:3" x14ac:dyDescent="0.25">
      <c r="A510" s="198">
        <v>39604</v>
      </c>
      <c r="B510" s="241">
        <v>7.45</v>
      </c>
      <c r="C510" s="42">
        <f t="shared" si="7"/>
        <v>492</v>
      </c>
    </row>
    <row r="511" spans="1:3" x14ac:dyDescent="0.25">
      <c r="A511" s="198">
        <v>39611</v>
      </c>
      <c r="B511" s="241">
        <v>7.47</v>
      </c>
      <c r="C511" s="42">
        <f t="shared" si="7"/>
        <v>493</v>
      </c>
    </row>
    <row r="512" spans="1:3" x14ac:dyDescent="0.25">
      <c r="A512" s="198">
        <v>39618</v>
      </c>
      <c r="B512" s="241">
        <v>7.56</v>
      </c>
      <c r="C512" s="42">
        <f t="shared" si="7"/>
        <v>494</v>
      </c>
    </row>
    <row r="513" spans="1:3" x14ac:dyDescent="0.25">
      <c r="A513" s="198">
        <v>39625</v>
      </c>
      <c r="B513" s="241">
        <v>7.74</v>
      </c>
      <c r="C513" s="42">
        <f t="shared" si="7"/>
        <v>495</v>
      </c>
    </row>
    <row r="514" spans="1:3" x14ac:dyDescent="0.25">
      <c r="A514" s="198">
        <v>39632</v>
      </c>
      <c r="B514" s="241">
        <v>7.75</v>
      </c>
      <c r="C514" s="42">
        <f t="shared" si="7"/>
        <v>496</v>
      </c>
    </row>
    <row r="515" spans="1:3" x14ac:dyDescent="0.25">
      <c r="A515" s="198">
        <v>39639</v>
      </c>
      <c r="B515" s="241">
        <v>7.76</v>
      </c>
      <c r="C515" s="42">
        <f t="shared" si="7"/>
        <v>497</v>
      </c>
    </row>
    <row r="516" spans="1:3" x14ac:dyDescent="0.25">
      <c r="A516" s="198">
        <v>39646</v>
      </c>
      <c r="B516" s="241">
        <v>8.02</v>
      </c>
      <c r="C516" s="42">
        <f t="shared" si="7"/>
        <v>498</v>
      </c>
    </row>
    <row r="517" spans="1:3" x14ac:dyDescent="0.25">
      <c r="A517" s="198">
        <v>39653</v>
      </c>
      <c r="B517" s="241">
        <v>8.01</v>
      </c>
      <c r="C517" s="42">
        <f t="shared" si="7"/>
        <v>499</v>
      </c>
    </row>
    <row r="518" spans="1:3" x14ac:dyDescent="0.25">
      <c r="A518" s="198">
        <v>39660</v>
      </c>
      <c r="B518" s="241">
        <v>8.09</v>
      </c>
      <c r="C518" s="42">
        <f t="shared" si="7"/>
        <v>500</v>
      </c>
    </row>
    <row r="519" spans="1:3" x14ac:dyDescent="0.25">
      <c r="A519" s="198">
        <v>39667</v>
      </c>
      <c r="B519" s="241">
        <v>8.11</v>
      </c>
      <c r="C519" s="42">
        <f t="shared" si="7"/>
        <v>501</v>
      </c>
    </row>
    <row r="520" spans="1:3" x14ac:dyDescent="0.25">
      <c r="A520" s="198">
        <v>39674</v>
      </c>
      <c r="B520" s="241">
        <v>8.18</v>
      </c>
      <c r="C520" s="42">
        <f t="shared" si="7"/>
        <v>502</v>
      </c>
    </row>
    <row r="521" spans="1:3" x14ac:dyDescent="0.25">
      <c r="A521" s="198">
        <v>39681</v>
      </c>
      <c r="B521" s="241">
        <v>8.2100000000000009</v>
      </c>
      <c r="C521" s="42">
        <f t="shared" si="7"/>
        <v>503</v>
      </c>
    </row>
    <row r="522" spans="1:3" x14ac:dyDescent="0.25">
      <c r="A522" s="198">
        <v>39688</v>
      </c>
      <c r="B522" s="241">
        <v>8.2100000000000009</v>
      </c>
      <c r="C522" s="42">
        <f t="shared" si="7"/>
        <v>504</v>
      </c>
    </row>
    <row r="523" spans="1:3" x14ac:dyDescent="0.25">
      <c r="A523" s="198">
        <v>39695</v>
      </c>
      <c r="B523" s="241">
        <v>8.18</v>
      </c>
      <c r="C523" s="42">
        <f t="shared" si="7"/>
        <v>505</v>
      </c>
    </row>
    <row r="524" spans="1:3" x14ac:dyDescent="0.25">
      <c r="A524" s="198">
        <v>39702</v>
      </c>
      <c r="B524" s="241">
        <v>8.17</v>
      </c>
      <c r="C524" s="42">
        <f t="shared" si="7"/>
        <v>506</v>
      </c>
    </row>
    <row r="525" spans="1:3" x14ac:dyDescent="0.25">
      <c r="A525" s="198">
        <v>39709</v>
      </c>
      <c r="B525" s="241">
        <v>8.16</v>
      </c>
      <c r="C525" s="42">
        <f t="shared" si="7"/>
        <v>507</v>
      </c>
    </row>
    <row r="526" spans="1:3" x14ac:dyDescent="0.25">
      <c r="A526" s="198">
        <v>39716</v>
      </c>
      <c r="B526" s="241">
        <v>8.15</v>
      </c>
      <c r="C526" s="42">
        <f t="shared" si="7"/>
        <v>508</v>
      </c>
    </row>
    <row r="527" spans="1:3" x14ac:dyDescent="0.25">
      <c r="A527" s="198">
        <v>39723</v>
      </c>
      <c r="B527" s="241">
        <v>8.1199999999999992</v>
      </c>
      <c r="C527" s="42">
        <f t="shared" si="7"/>
        <v>509</v>
      </c>
    </row>
    <row r="528" spans="1:3" x14ac:dyDescent="0.25">
      <c r="A528" s="198">
        <v>39730</v>
      </c>
      <c r="B528" s="241">
        <v>7.99</v>
      </c>
      <c r="C528" s="42">
        <f t="shared" si="7"/>
        <v>510</v>
      </c>
    </row>
    <row r="529" spans="1:3" x14ac:dyDescent="0.25">
      <c r="A529" s="198">
        <v>39737</v>
      </c>
      <c r="B529" s="241">
        <v>7.8</v>
      </c>
      <c r="C529" s="42">
        <f t="shared" si="7"/>
        <v>511</v>
      </c>
    </row>
    <row r="530" spans="1:3" x14ac:dyDescent="0.25">
      <c r="A530" s="198">
        <v>39744</v>
      </c>
      <c r="B530" s="241">
        <v>7.58</v>
      </c>
      <c r="C530" s="42">
        <f t="shared" si="7"/>
        <v>512</v>
      </c>
    </row>
    <row r="531" spans="1:3" x14ac:dyDescent="0.25">
      <c r="A531" s="198">
        <v>39751</v>
      </c>
      <c r="B531" s="241">
        <v>7.22</v>
      </c>
      <c r="C531" s="42">
        <f t="shared" si="7"/>
        <v>513</v>
      </c>
    </row>
    <row r="532" spans="1:3" x14ac:dyDescent="0.25">
      <c r="A532" s="198">
        <v>39758</v>
      </c>
      <c r="B532" s="241">
        <v>7.1</v>
      </c>
      <c r="C532" s="42">
        <f t="shared" si="7"/>
        <v>514</v>
      </c>
    </row>
    <row r="533" spans="1:3" x14ac:dyDescent="0.25">
      <c r="A533" s="198">
        <v>39765</v>
      </c>
      <c r="B533" s="241">
        <v>7.08</v>
      </c>
      <c r="C533" s="42">
        <f t="shared" ref="C533:C596" si="8">+C532+1</f>
        <v>515</v>
      </c>
    </row>
    <row r="534" spans="1:3" x14ac:dyDescent="0.25">
      <c r="A534" s="198">
        <v>39772</v>
      </c>
      <c r="B534" s="241">
        <v>7.72</v>
      </c>
      <c r="C534" s="42">
        <f t="shared" si="8"/>
        <v>516</v>
      </c>
    </row>
    <row r="535" spans="1:3" x14ac:dyDescent="0.25">
      <c r="A535" s="198">
        <v>39779</v>
      </c>
      <c r="B535" s="241">
        <v>7.82</v>
      </c>
      <c r="C535" s="42">
        <f t="shared" si="8"/>
        <v>517</v>
      </c>
    </row>
    <row r="536" spans="1:3" x14ac:dyDescent="0.25">
      <c r="A536" s="198">
        <v>39786</v>
      </c>
      <c r="B536" s="241">
        <v>8.0299999999999994</v>
      </c>
      <c r="C536" s="42">
        <f t="shared" si="8"/>
        <v>518</v>
      </c>
    </row>
    <row r="537" spans="1:3" x14ac:dyDescent="0.25">
      <c r="A537" s="198">
        <v>39793</v>
      </c>
      <c r="B537" s="241">
        <v>8.0399999999999991</v>
      </c>
      <c r="C537" s="42">
        <f t="shared" si="8"/>
        <v>519</v>
      </c>
    </row>
    <row r="538" spans="1:3" x14ac:dyDescent="0.25">
      <c r="A538" s="198">
        <v>39800</v>
      </c>
      <c r="B538" s="241">
        <v>8.0299999999999994</v>
      </c>
      <c r="C538" s="42">
        <f t="shared" si="8"/>
        <v>520</v>
      </c>
    </row>
    <row r="539" spans="1:3" x14ac:dyDescent="0.25">
      <c r="A539" s="198">
        <v>39806</v>
      </c>
      <c r="B539" s="241">
        <v>8.01</v>
      </c>
      <c r="C539" s="42">
        <f t="shared" si="8"/>
        <v>521</v>
      </c>
    </row>
    <row r="540" spans="1:3" x14ac:dyDescent="0.25">
      <c r="A540" s="198">
        <v>39813</v>
      </c>
      <c r="B540" s="241">
        <v>7.97</v>
      </c>
      <c r="C540" s="42">
        <f t="shared" si="8"/>
        <v>522</v>
      </c>
    </row>
    <row r="541" spans="1:3" x14ac:dyDescent="0.25">
      <c r="A541" s="198">
        <v>39821</v>
      </c>
      <c r="B541" s="241">
        <v>7.91</v>
      </c>
      <c r="C541" s="42">
        <f t="shared" si="8"/>
        <v>523</v>
      </c>
    </row>
    <row r="542" spans="1:3" x14ac:dyDescent="0.25">
      <c r="A542" s="198">
        <v>39828</v>
      </c>
      <c r="B542" s="241">
        <v>7.7</v>
      </c>
      <c r="C542" s="42">
        <f t="shared" si="8"/>
        <v>524</v>
      </c>
    </row>
    <row r="543" spans="1:3" x14ac:dyDescent="0.25">
      <c r="A543" s="198">
        <v>39835</v>
      </c>
      <c r="B543" s="241">
        <v>7.44</v>
      </c>
      <c r="C543" s="42">
        <f t="shared" si="8"/>
        <v>525</v>
      </c>
    </row>
    <row r="544" spans="1:3" x14ac:dyDescent="0.25">
      <c r="A544" s="198">
        <v>39842</v>
      </c>
      <c r="B544" s="241">
        <v>7.31</v>
      </c>
      <c r="C544" s="42">
        <f t="shared" si="8"/>
        <v>526</v>
      </c>
    </row>
    <row r="545" spans="1:3" x14ac:dyDescent="0.25">
      <c r="A545" s="198">
        <v>39849</v>
      </c>
      <c r="B545" s="241">
        <v>7.16</v>
      </c>
      <c r="C545" s="42">
        <f t="shared" si="8"/>
        <v>527</v>
      </c>
    </row>
    <row r="546" spans="1:3" x14ac:dyDescent="0.25">
      <c r="A546" s="198">
        <v>39856</v>
      </c>
      <c r="B546" s="241">
        <v>7.07</v>
      </c>
      <c r="C546" s="42">
        <f t="shared" si="8"/>
        <v>528</v>
      </c>
    </row>
    <row r="547" spans="1:3" x14ac:dyDescent="0.25">
      <c r="A547" s="198">
        <v>39863</v>
      </c>
      <c r="B547" s="241">
        <v>7</v>
      </c>
      <c r="C547" s="42">
        <f t="shared" si="8"/>
        <v>529</v>
      </c>
    </row>
    <row r="548" spans="1:3" x14ac:dyDescent="0.25">
      <c r="A548" s="198">
        <v>39870</v>
      </c>
      <c r="B548" s="241">
        <v>7.24</v>
      </c>
      <c r="C548" s="42">
        <f t="shared" si="8"/>
        <v>530</v>
      </c>
    </row>
    <row r="549" spans="1:3" x14ac:dyDescent="0.25">
      <c r="A549" s="198">
        <v>39877</v>
      </c>
      <c r="B549" s="241">
        <v>7.25</v>
      </c>
      <c r="C549" s="42">
        <f t="shared" si="8"/>
        <v>531</v>
      </c>
    </row>
    <row r="550" spans="1:3" x14ac:dyDescent="0.25">
      <c r="A550" s="198">
        <v>39884</v>
      </c>
      <c r="B550" s="241">
        <v>7.18</v>
      </c>
      <c r="C550" s="42">
        <f t="shared" si="8"/>
        <v>532</v>
      </c>
    </row>
    <row r="551" spans="1:3" x14ac:dyDescent="0.25">
      <c r="A551" s="198">
        <v>39891</v>
      </c>
      <c r="B551" s="241">
        <v>7.18</v>
      </c>
      <c r="C551" s="42">
        <f t="shared" si="8"/>
        <v>533</v>
      </c>
    </row>
    <row r="552" spans="1:3" x14ac:dyDescent="0.25">
      <c r="A552" s="198">
        <v>39898</v>
      </c>
      <c r="B552" s="241">
        <v>6.52</v>
      </c>
      <c r="C552" s="42">
        <f t="shared" si="8"/>
        <v>534</v>
      </c>
    </row>
    <row r="553" spans="1:3" x14ac:dyDescent="0.25">
      <c r="A553" s="198">
        <v>39905</v>
      </c>
      <c r="B553" s="241">
        <v>6.35</v>
      </c>
      <c r="C553" s="42">
        <f t="shared" si="8"/>
        <v>535</v>
      </c>
    </row>
    <row r="554" spans="1:3" x14ac:dyDescent="0.25">
      <c r="A554" s="198">
        <v>39911</v>
      </c>
      <c r="B554" s="241">
        <v>6.24</v>
      </c>
      <c r="C554" s="42">
        <f t="shared" si="8"/>
        <v>536</v>
      </c>
    </row>
    <row r="555" spans="1:3" x14ac:dyDescent="0.25">
      <c r="A555" s="198">
        <v>39919</v>
      </c>
      <c r="B555" s="241">
        <v>6.06</v>
      </c>
      <c r="C555" s="42">
        <f t="shared" si="8"/>
        <v>537</v>
      </c>
    </row>
    <row r="556" spans="1:3" x14ac:dyDescent="0.25">
      <c r="A556" s="198">
        <v>39926</v>
      </c>
      <c r="B556" s="241">
        <v>5.84</v>
      </c>
      <c r="C556" s="42">
        <f t="shared" si="8"/>
        <v>538</v>
      </c>
    </row>
    <row r="557" spans="1:3" x14ac:dyDescent="0.25">
      <c r="A557" s="198">
        <v>39933</v>
      </c>
      <c r="B557" s="241">
        <v>5.74</v>
      </c>
      <c r="C557" s="42">
        <f t="shared" si="8"/>
        <v>539</v>
      </c>
    </row>
    <row r="558" spans="1:3" x14ac:dyDescent="0.25">
      <c r="A558" s="198">
        <v>39940</v>
      </c>
      <c r="B558" s="241">
        <v>5.54</v>
      </c>
      <c r="C558" s="42">
        <f t="shared" si="8"/>
        <v>540</v>
      </c>
    </row>
    <row r="559" spans="1:3" x14ac:dyDescent="0.25">
      <c r="A559" s="198">
        <v>39947</v>
      </c>
      <c r="B559" s="241">
        <v>5.36</v>
      </c>
      <c r="C559" s="42">
        <f t="shared" si="8"/>
        <v>541</v>
      </c>
    </row>
    <row r="560" spans="1:3" x14ac:dyDescent="0.25">
      <c r="A560" s="198">
        <v>39954</v>
      </c>
      <c r="B560" s="241">
        <v>5.18</v>
      </c>
      <c r="C560" s="42">
        <f t="shared" si="8"/>
        <v>542</v>
      </c>
    </row>
    <row r="561" spans="1:3" x14ac:dyDescent="0.25">
      <c r="A561" s="198">
        <v>39961</v>
      </c>
      <c r="B561" s="241">
        <v>5.09</v>
      </c>
      <c r="C561" s="42">
        <f t="shared" si="8"/>
        <v>543</v>
      </c>
    </row>
    <row r="562" spans="1:3" x14ac:dyDescent="0.25">
      <c r="A562" s="198">
        <v>39968</v>
      </c>
      <c r="B562" s="241">
        <v>5.08</v>
      </c>
      <c r="C562" s="42">
        <f t="shared" si="8"/>
        <v>544</v>
      </c>
    </row>
    <row r="563" spans="1:3" x14ac:dyDescent="0.25">
      <c r="A563" s="198">
        <v>39975</v>
      </c>
      <c r="B563" s="241">
        <v>5.0999999999999996</v>
      </c>
      <c r="C563" s="42">
        <f t="shared" si="8"/>
        <v>545</v>
      </c>
    </row>
    <row r="564" spans="1:3" x14ac:dyDescent="0.25">
      <c r="A564" s="198">
        <v>39982</v>
      </c>
      <c r="B564" s="241">
        <v>5.01</v>
      </c>
      <c r="C564" s="42">
        <f t="shared" si="8"/>
        <v>546</v>
      </c>
    </row>
    <row r="565" spans="1:3" x14ac:dyDescent="0.25">
      <c r="A565" s="198">
        <v>39989</v>
      </c>
      <c r="B565" s="241">
        <v>4.72</v>
      </c>
      <c r="C565" s="42">
        <f t="shared" si="8"/>
        <v>547</v>
      </c>
    </row>
    <row r="566" spans="1:3" x14ac:dyDescent="0.25">
      <c r="A566" s="198">
        <v>39996</v>
      </c>
      <c r="B566" s="241">
        <v>4.72</v>
      </c>
      <c r="C566" s="42">
        <f t="shared" si="8"/>
        <v>548</v>
      </c>
    </row>
    <row r="567" spans="1:3" x14ac:dyDescent="0.25">
      <c r="A567" s="198">
        <v>40003</v>
      </c>
      <c r="B567" s="241">
        <v>4.6500000000000004</v>
      </c>
      <c r="C567" s="42">
        <f t="shared" si="8"/>
        <v>549</v>
      </c>
    </row>
    <row r="568" spans="1:3" x14ac:dyDescent="0.25">
      <c r="A568" s="198">
        <v>40010</v>
      </c>
      <c r="B568" s="241">
        <v>4.55</v>
      </c>
      <c r="C568" s="42">
        <f t="shared" si="8"/>
        <v>550</v>
      </c>
    </row>
    <row r="569" spans="1:3" x14ac:dyDescent="0.25">
      <c r="A569" s="198">
        <v>40017</v>
      </c>
      <c r="B569" s="241">
        <v>4.5199999999999996</v>
      </c>
      <c r="C569" s="42">
        <f t="shared" si="8"/>
        <v>551</v>
      </c>
    </row>
    <row r="570" spans="1:3" x14ac:dyDescent="0.25">
      <c r="A570" s="198">
        <v>40024</v>
      </c>
      <c r="B570" s="241">
        <v>4.51</v>
      </c>
      <c r="C570" s="42">
        <f t="shared" si="8"/>
        <v>552</v>
      </c>
    </row>
    <row r="571" spans="1:3" x14ac:dyDescent="0.25">
      <c r="A571" s="198">
        <v>40031</v>
      </c>
      <c r="B571" s="241">
        <v>4.5</v>
      </c>
      <c r="C571" s="42">
        <f t="shared" si="8"/>
        <v>553</v>
      </c>
    </row>
    <row r="572" spans="1:3" x14ac:dyDescent="0.25">
      <c r="A572" s="198">
        <v>40038</v>
      </c>
      <c r="B572" s="241">
        <v>4.49</v>
      </c>
      <c r="C572" s="42">
        <f t="shared" si="8"/>
        <v>554</v>
      </c>
    </row>
    <row r="573" spans="1:3" x14ac:dyDescent="0.25">
      <c r="A573" s="198">
        <v>40045</v>
      </c>
      <c r="B573" s="241">
        <v>4.4800000000000004</v>
      </c>
      <c r="C573" s="42">
        <f t="shared" si="8"/>
        <v>555</v>
      </c>
    </row>
    <row r="574" spans="1:3" x14ac:dyDescent="0.25">
      <c r="A574" s="198">
        <v>40052</v>
      </c>
      <c r="B574" s="241">
        <v>4.47</v>
      </c>
      <c r="C574" s="42">
        <f t="shared" si="8"/>
        <v>556</v>
      </c>
    </row>
    <row r="575" spans="1:3" x14ac:dyDescent="0.25">
      <c r="A575" s="198">
        <v>40059</v>
      </c>
      <c r="B575" s="241">
        <v>4.47</v>
      </c>
      <c r="C575" s="42">
        <f t="shared" si="8"/>
        <v>557</v>
      </c>
    </row>
    <row r="576" spans="1:3" x14ac:dyDescent="0.25">
      <c r="A576" s="198">
        <v>40066</v>
      </c>
      <c r="B576" s="241">
        <v>4.47</v>
      </c>
      <c r="C576" s="42">
        <f t="shared" si="8"/>
        <v>558</v>
      </c>
    </row>
    <row r="577" spans="1:3" x14ac:dyDescent="0.25">
      <c r="A577" s="198">
        <v>40073</v>
      </c>
      <c r="B577" s="241">
        <v>4.49</v>
      </c>
      <c r="C577" s="42">
        <f t="shared" si="8"/>
        <v>559</v>
      </c>
    </row>
    <row r="578" spans="1:3" x14ac:dyDescent="0.25">
      <c r="A578" s="198">
        <v>40080</v>
      </c>
      <c r="B578" s="241">
        <v>4.5</v>
      </c>
      <c r="C578" s="42">
        <f t="shared" si="8"/>
        <v>560</v>
      </c>
    </row>
    <row r="579" spans="1:3" x14ac:dyDescent="0.25">
      <c r="A579" s="198">
        <v>40087</v>
      </c>
      <c r="B579" s="241">
        <v>4.51</v>
      </c>
      <c r="C579" s="42">
        <f t="shared" si="8"/>
        <v>561</v>
      </c>
    </row>
    <row r="580" spans="1:3" x14ac:dyDescent="0.25">
      <c r="A580" s="198">
        <v>40094</v>
      </c>
      <c r="B580" s="241">
        <v>4.51</v>
      </c>
      <c r="C580" s="42">
        <f t="shared" si="8"/>
        <v>562</v>
      </c>
    </row>
    <row r="581" spans="1:3" x14ac:dyDescent="0.25">
      <c r="A581" s="198">
        <v>40101</v>
      </c>
      <c r="B581" s="241">
        <v>4.51</v>
      </c>
      <c r="C581" s="42">
        <f t="shared" si="8"/>
        <v>563</v>
      </c>
    </row>
    <row r="582" spans="1:3" x14ac:dyDescent="0.25">
      <c r="A582" s="198">
        <v>40108</v>
      </c>
      <c r="B582" s="241">
        <v>4.51</v>
      </c>
      <c r="C582" s="42">
        <f t="shared" si="8"/>
        <v>564</v>
      </c>
    </row>
    <row r="583" spans="1:3" x14ac:dyDescent="0.25">
      <c r="A583" s="198">
        <v>40115</v>
      </c>
      <c r="B583" s="241">
        <v>4.5199999999999996</v>
      </c>
      <c r="C583" s="42">
        <f t="shared" si="8"/>
        <v>565</v>
      </c>
    </row>
    <row r="584" spans="1:3" x14ac:dyDescent="0.25">
      <c r="A584" s="198">
        <v>40122</v>
      </c>
      <c r="B584" s="241">
        <v>4.5199999999999996</v>
      </c>
      <c r="C584" s="42">
        <f t="shared" si="8"/>
        <v>566</v>
      </c>
    </row>
    <row r="585" spans="1:3" x14ac:dyDescent="0.25">
      <c r="A585" s="198">
        <v>40129</v>
      </c>
      <c r="B585" s="241">
        <v>4.5199999999999996</v>
      </c>
      <c r="C585" s="42">
        <f t="shared" si="8"/>
        <v>567</v>
      </c>
    </row>
    <row r="586" spans="1:3" x14ac:dyDescent="0.25">
      <c r="A586" s="198">
        <v>40136</v>
      </c>
      <c r="B586" s="241">
        <v>4.5</v>
      </c>
      <c r="C586" s="42">
        <f t="shared" si="8"/>
        <v>568</v>
      </c>
    </row>
    <row r="587" spans="1:3" x14ac:dyDescent="0.25">
      <c r="A587" s="198">
        <v>40143</v>
      </c>
      <c r="B587" s="241">
        <v>4.49</v>
      </c>
      <c r="C587" s="42">
        <f t="shared" si="8"/>
        <v>569</v>
      </c>
    </row>
    <row r="588" spans="1:3" x14ac:dyDescent="0.25">
      <c r="A588" s="198">
        <v>40150</v>
      </c>
      <c r="B588" s="241">
        <v>4.51</v>
      </c>
      <c r="C588" s="42">
        <f t="shared" si="8"/>
        <v>570</v>
      </c>
    </row>
    <row r="589" spans="1:3" x14ac:dyDescent="0.25">
      <c r="A589" s="198">
        <v>40157</v>
      </c>
      <c r="B589" s="241">
        <v>4.4800000000000004</v>
      </c>
      <c r="C589" s="42">
        <f t="shared" si="8"/>
        <v>571</v>
      </c>
    </row>
    <row r="590" spans="1:3" x14ac:dyDescent="0.25">
      <c r="A590" s="198">
        <v>40164</v>
      </c>
      <c r="B590" s="241">
        <v>4.51</v>
      </c>
      <c r="C590" s="42">
        <f t="shared" si="8"/>
        <v>572</v>
      </c>
    </row>
    <row r="591" spans="1:3" x14ac:dyDescent="0.25">
      <c r="A591" s="198">
        <v>40171</v>
      </c>
      <c r="B591" s="241">
        <v>4.5</v>
      </c>
      <c r="C591" s="42">
        <f t="shared" si="8"/>
        <v>573</v>
      </c>
    </row>
    <row r="592" spans="1:3" x14ac:dyDescent="0.25">
      <c r="A592" s="198">
        <v>40178</v>
      </c>
      <c r="B592" s="241">
        <v>4.51</v>
      </c>
      <c r="C592" s="42">
        <f t="shared" si="8"/>
        <v>574</v>
      </c>
    </row>
    <row r="593" spans="1:3" x14ac:dyDescent="0.25">
      <c r="A593" s="198">
        <v>40185</v>
      </c>
      <c r="B593" s="241">
        <v>4.5</v>
      </c>
      <c r="C593" s="42">
        <f t="shared" si="8"/>
        <v>575</v>
      </c>
    </row>
    <row r="594" spans="1:3" x14ac:dyDescent="0.25">
      <c r="A594" s="198">
        <v>40192</v>
      </c>
      <c r="B594" s="241">
        <v>4.5</v>
      </c>
      <c r="C594" s="42">
        <f t="shared" si="8"/>
        <v>576</v>
      </c>
    </row>
    <row r="595" spans="1:3" x14ac:dyDescent="0.25">
      <c r="A595" s="198">
        <v>40199</v>
      </c>
      <c r="B595" s="241">
        <v>4.49</v>
      </c>
      <c r="C595" s="42">
        <f t="shared" si="8"/>
        <v>577</v>
      </c>
    </row>
    <row r="596" spans="1:3" x14ac:dyDescent="0.25">
      <c r="A596" s="198">
        <v>40206</v>
      </c>
      <c r="B596" s="241">
        <v>4.4800000000000004</v>
      </c>
      <c r="C596" s="42">
        <f t="shared" si="8"/>
        <v>578</v>
      </c>
    </row>
    <row r="597" spans="1:3" x14ac:dyDescent="0.25">
      <c r="A597" s="198">
        <v>40213</v>
      </c>
      <c r="B597" s="241">
        <v>4.47</v>
      </c>
      <c r="C597" s="42">
        <f t="shared" ref="C597:C660" si="9">+C596+1</f>
        <v>579</v>
      </c>
    </row>
    <row r="598" spans="1:3" x14ac:dyDescent="0.25">
      <c r="A598" s="198">
        <v>40220</v>
      </c>
      <c r="B598" s="241">
        <v>4.49</v>
      </c>
      <c r="C598" s="42">
        <f t="shared" si="9"/>
        <v>580</v>
      </c>
    </row>
    <row r="599" spans="1:3" x14ac:dyDescent="0.25">
      <c r="A599" s="198">
        <v>40227</v>
      </c>
      <c r="B599" s="241">
        <v>4.49</v>
      </c>
      <c r="C599" s="42">
        <f t="shared" si="9"/>
        <v>581</v>
      </c>
    </row>
    <row r="600" spans="1:3" x14ac:dyDescent="0.25">
      <c r="A600" s="198">
        <v>40234</v>
      </c>
      <c r="B600" s="241">
        <v>4.49</v>
      </c>
      <c r="C600" s="42">
        <f t="shared" si="9"/>
        <v>582</v>
      </c>
    </row>
    <row r="601" spans="1:3" x14ac:dyDescent="0.25">
      <c r="A601" s="198">
        <v>40241</v>
      </c>
      <c r="B601" s="241">
        <v>4.49</v>
      </c>
      <c r="C601" s="42">
        <f t="shared" si="9"/>
        <v>583</v>
      </c>
    </row>
    <row r="602" spans="1:3" x14ac:dyDescent="0.25">
      <c r="A602" s="198">
        <v>40248</v>
      </c>
      <c r="B602" s="241">
        <v>4.41</v>
      </c>
      <c r="C602" s="42">
        <f t="shared" si="9"/>
        <v>584</v>
      </c>
    </row>
    <row r="603" spans="1:3" x14ac:dyDescent="0.25">
      <c r="A603" s="198">
        <v>40255</v>
      </c>
      <c r="B603" s="241">
        <v>4.43</v>
      </c>
      <c r="C603" s="42">
        <f t="shared" si="9"/>
        <v>585</v>
      </c>
    </row>
    <row r="604" spans="1:3" x14ac:dyDescent="0.25">
      <c r="A604" s="198">
        <v>40262</v>
      </c>
      <c r="B604" s="241">
        <v>4.46</v>
      </c>
      <c r="C604" s="42">
        <f t="shared" si="9"/>
        <v>586</v>
      </c>
    </row>
    <row r="605" spans="1:3" x14ac:dyDescent="0.25">
      <c r="A605" s="198">
        <v>40268</v>
      </c>
      <c r="B605" s="241">
        <v>4.45</v>
      </c>
      <c r="C605" s="42">
        <f t="shared" si="9"/>
        <v>587</v>
      </c>
    </row>
    <row r="606" spans="1:3" x14ac:dyDescent="0.25">
      <c r="A606" s="198">
        <v>40276</v>
      </c>
      <c r="B606" s="241">
        <v>4.43</v>
      </c>
      <c r="C606" s="42">
        <f t="shared" si="9"/>
        <v>588</v>
      </c>
    </row>
    <row r="607" spans="1:3" x14ac:dyDescent="0.25">
      <c r="A607" s="198">
        <v>40283</v>
      </c>
      <c r="B607" s="241">
        <v>4.41</v>
      </c>
      <c r="C607" s="42">
        <f t="shared" si="9"/>
        <v>589</v>
      </c>
    </row>
    <row r="608" spans="1:3" x14ac:dyDescent="0.25">
      <c r="A608" s="198">
        <v>40290</v>
      </c>
      <c r="B608" s="241">
        <v>4.46</v>
      </c>
      <c r="C608" s="42">
        <f t="shared" si="9"/>
        <v>590</v>
      </c>
    </row>
    <row r="609" spans="1:3" x14ac:dyDescent="0.25">
      <c r="A609" s="198">
        <v>40297</v>
      </c>
      <c r="B609" s="241">
        <v>4.45</v>
      </c>
      <c r="C609" s="42">
        <f t="shared" si="9"/>
        <v>591</v>
      </c>
    </row>
    <row r="610" spans="1:3" x14ac:dyDescent="0.25">
      <c r="A610" s="198">
        <v>40304</v>
      </c>
      <c r="B610" s="241">
        <v>4.49</v>
      </c>
      <c r="C610" s="42">
        <f t="shared" si="9"/>
        <v>592</v>
      </c>
    </row>
    <row r="611" spans="1:3" x14ac:dyDescent="0.25">
      <c r="A611" s="198">
        <v>40311</v>
      </c>
      <c r="B611" s="241">
        <v>4.49</v>
      </c>
      <c r="C611" s="42">
        <f t="shared" si="9"/>
        <v>593</v>
      </c>
    </row>
    <row r="612" spans="1:3" x14ac:dyDescent="0.25">
      <c r="A612" s="198">
        <v>40318</v>
      </c>
      <c r="B612" s="241">
        <v>4.53</v>
      </c>
      <c r="C612" s="42">
        <f t="shared" si="9"/>
        <v>594</v>
      </c>
    </row>
    <row r="613" spans="1:3" x14ac:dyDescent="0.25">
      <c r="A613" s="198">
        <v>40325</v>
      </c>
      <c r="B613" s="241">
        <v>4.55</v>
      </c>
      <c r="C613" s="42">
        <f t="shared" si="9"/>
        <v>595</v>
      </c>
    </row>
    <row r="614" spans="1:3" x14ac:dyDescent="0.25">
      <c r="A614" s="198">
        <v>40332</v>
      </c>
      <c r="B614" s="241">
        <v>4.58</v>
      </c>
      <c r="C614" s="42">
        <f t="shared" si="9"/>
        <v>596</v>
      </c>
    </row>
    <row r="615" spans="1:3" x14ac:dyDescent="0.25">
      <c r="A615" s="198">
        <v>40339</v>
      </c>
      <c r="B615" s="241">
        <v>4.59</v>
      </c>
      <c r="C615" s="42">
        <f t="shared" si="9"/>
        <v>597</v>
      </c>
    </row>
    <row r="616" spans="1:3" x14ac:dyDescent="0.25">
      <c r="A616" s="198">
        <v>40346</v>
      </c>
      <c r="B616" s="241">
        <v>4.5999999999999996</v>
      </c>
      <c r="C616" s="42">
        <f t="shared" si="9"/>
        <v>598</v>
      </c>
    </row>
    <row r="617" spans="1:3" x14ac:dyDescent="0.25">
      <c r="A617" s="198">
        <v>40353</v>
      </c>
      <c r="B617" s="241">
        <v>4.59</v>
      </c>
      <c r="C617" s="42">
        <f t="shared" si="9"/>
        <v>599</v>
      </c>
    </row>
    <row r="618" spans="1:3" x14ac:dyDescent="0.25">
      <c r="A618" s="198">
        <v>40360</v>
      </c>
      <c r="B618" s="241">
        <v>4.5999999999999996</v>
      </c>
      <c r="C618" s="42">
        <f t="shared" si="9"/>
        <v>600</v>
      </c>
    </row>
    <row r="619" spans="1:3" x14ac:dyDescent="0.25">
      <c r="A619" s="198">
        <v>40367</v>
      </c>
      <c r="B619" s="241">
        <v>4.59</v>
      </c>
      <c r="C619" s="42">
        <f t="shared" si="9"/>
        <v>601</v>
      </c>
    </row>
    <row r="620" spans="1:3" x14ac:dyDescent="0.25">
      <c r="A620" s="198">
        <v>40374</v>
      </c>
      <c r="B620" s="241">
        <v>4.59</v>
      </c>
      <c r="C620" s="42">
        <f t="shared" si="9"/>
        <v>602</v>
      </c>
    </row>
    <row r="621" spans="1:3" x14ac:dyDescent="0.25">
      <c r="A621" s="198">
        <v>40381</v>
      </c>
      <c r="B621" s="241">
        <v>4.59</v>
      </c>
      <c r="C621" s="42">
        <f t="shared" si="9"/>
        <v>603</v>
      </c>
    </row>
    <row r="622" spans="1:3" x14ac:dyDescent="0.25">
      <c r="A622" s="198">
        <v>40388</v>
      </c>
      <c r="B622" s="241">
        <v>4.5999999999999996</v>
      </c>
      <c r="C622" s="42">
        <f t="shared" si="9"/>
        <v>604</v>
      </c>
    </row>
    <row r="623" spans="1:3" x14ac:dyDescent="0.25">
      <c r="A623" s="198">
        <v>40395</v>
      </c>
      <c r="B623" s="241">
        <v>4.5599999999999996</v>
      </c>
      <c r="C623" s="42">
        <f t="shared" si="9"/>
        <v>605</v>
      </c>
    </row>
    <row r="624" spans="1:3" x14ac:dyDescent="0.25">
      <c r="A624" s="198">
        <v>40402</v>
      </c>
      <c r="B624" s="241">
        <v>4.54</v>
      </c>
      <c r="C624" s="42">
        <f t="shared" si="9"/>
        <v>606</v>
      </c>
    </row>
    <row r="625" spans="1:3" x14ac:dyDescent="0.25">
      <c r="A625" s="198">
        <v>40409</v>
      </c>
      <c r="B625" s="241">
        <v>4.5</v>
      </c>
      <c r="C625" s="42">
        <f t="shared" si="9"/>
        <v>607</v>
      </c>
    </row>
    <row r="626" spans="1:3" x14ac:dyDescent="0.25">
      <c r="A626" s="198">
        <v>40416</v>
      </c>
      <c r="B626" s="241">
        <v>4.47</v>
      </c>
      <c r="C626" s="42">
        <f t="shared" si="9"/>
        <v>608</v>
      </c>
    </row>
    <row r="627" spans="1:3" x14ac:dyDescent="0.25">
      <c r="A627" s="198">
        <v>40423</v>
      </c>
      <c r="B627" s="241">
        <v>4.4800000000000004</v>
      </c>
      <c r="C627" s="42">
        <f t="shared" si="9"/>
        <v>609</v>
      </c>
    </row>
    <row r="628" spans="1:3" x14ac:dyDescent="0.25">
      <c r="A628" s="198">
        <v>40430</v>
      </c>
      <c r="B628" s="241">
        <v>4.4800000000000004</v>
      </c>
      <c r="C628" s="42">
        <f t="shared" si="9"/>
        <v>610</v>
      </c>
    </row>
    <row r="629" spans="1:3" x14ac:dyDescent="0.25">
      <c r="A629" s="198">
        <v>40436</v>
      </c>
      <c r="B629" s="241">
        <v>4.45</v>
      </c>
      <c r="C629" s="42">
        <f t="shared" si="9"/>
        <v>611</v>
      </c>
    </row>
    <row r="630" spans="1:3" x14ac:dyDescent="0.25">
      <c r="A630" s="198">
        <v>40444</v>
      </c>
      <c r="B630" s="241">
        <v>4.3600000000000003</v>
      </c>
      <c r="C630" s="42">
        <f t="shared" si="9"/>
        <v>612</v>
      </c>
    </row>
    <row r="631" spans="1:3" x14ac:dyDescent="0.25">
      <c r="A631" s="198">
        <v>40451</v>
      </c>
      <c r="B631" s="241">
        <v>4.3600000000000003</v>
      </c>
      <c r="C631" s="42">
        <f t="shared" si="9"/>
        <v>613</v>
      </c>
    </row>
    <row r="632" spans="1:3" x14ac:dyDescent="0.25">
      <c r="A632" s="198">
        <v>40458</v>
      </c>
      <c r="B632" s="241">
        <v>4.18</v>
      </c>
      <c r="C632" s="42">
        <f t="shared" si="9"/>
        <v>614</v>
      </c>
    </row>
    <row r="633" spans="1:3" x14ac:dyDescent="0.25">
      <c r="A633" s="198">
        <v>40465</v>
      </c>
      <c r="B633" s="241">
        <v>4.05</v>
      </c>
      <c r="C633" s="42">
        <f t="shared" si="9"/>
        <v>615</v>
      </c>
    </row>
    <row r="634" spans="1:3" x14ac:dyDescent="0.25">
      <c r="A634" s="198">
        <v>40472</v>
      </c>
      <c r="B634" s="241">
        <v>4.03</v>
      </c>
      <c r="C634" s="42">
        <f t="shared" si="9"/>
        <v>616</v>
      </c>
    </row>
    <row r="635" spans="1:3" x14ac:dyDescent="0.25">
      <c r="A635" s="198">
        <v>40479</v>
      </c>
      <c r="B635" s="241">
        <v>3.84</v>
      </c>
      <c r="C635" s="42">
        <f t="shared" si="9"/>
        <v>617</v>
      </c>
    </row>
    <row r="636" spans="1:3" x14ac:dyDescent="0.25">
      <c r="A636" s="198">
        <v>40486</v>
      </c>
      <c r="B636" s="241">
        <v>3.85</v>
      </c>
      <c r="C636" s="42">
        <f t="shared" si="9"/>
        <v>618</v>
      </c>
    </row>
    <row r="637" spans="1:3" x14ac:dyDescent="0.25">
      <c r="A637" s="198">
        <v>40493</v>
      </c>
      <c r="B637" s="241">
        <v>3.92</v>
      </c>
      <c r="C637" s="42">
        <f t="shared" si="9"/>
        <v>619</v>
      </c>
    </row>
    <row r="638" spans="1:3" x14ac:dyDescent="0.25">
      <c r="A638" s="198">
        <v>40500</v>
      </c>
      <c r="B638" s="241">
        <v>3.94</v>
      </c>
      <c r="C638" s="42">
        <f t="shared" si="9"/>
        <v>620</v>
      </c>
    </row>
    <row r="639" spans="1:3" x14ac:dyDescent="0.25">
      <c r="A639" s="198">
        <v>40507</v>
      </c>
      <c r="B639" s="241">
        <v>4.17</v>
      </c>
      <c r="C639" s="42">
        <f t="shared" si="9"/>
        <v>621</v>
      </c>
    </row>
    <row r="640" spans="1:3" x14ac:dyDescent="0.25">
      <c r="A640" s="198">
        <v>40514</v>
      </c>
      <c r="B640" s="241">
        <v>4.3499999999999996</v>
      </c>
      <c r="C640" s="42">
        <f t="shared" si="9"/>
        <v>622</v>
      </c>
    </row>
    <row r="641" spans="1:3" x14ac:dyDescent="0.25">
      <c r="A641" s="198">
        <v>40521</v>
      </c>
      <c r="B641" s="241">
        <v>4.16</v>
      </c>
      <c r="C641" s="42">
        <f t="shared" si="9"/>
        <v>623</v>
      </c>
    </row>
    <row r="642" spans="1:3" x14ac:dyDescent="0.25">
      <c r="A642" s="198">
        <v>40528</v>
      </c>
      <c r="B642" s="241">
        <v>4.18</v>
      </c>
      <c r="C642" s="42">
        <f t="shared" si="9"/>
        <v>624</v>
      </c>
    </row>
    <row r="643" spans="1:3" x14ac:dyDescent="0.25">
      <c r="A643" s="198">
        <v>40535</v>
      </c>
      <c r="B643" s="241">
        <v>4.38</v>
      </c>
      <c r="C643" s="42">
        <f t="shared" si="9"/>
        <v>625</v>
      </c>
    </row>
    <row r="644" spans="1:3" x14ac:dyDescent="0.25">
      <c r="A644" s="198">
        <v>40542</v>
      </c>
      <c r="B644" s="241">
        <v>4.45</v>
      </c>
      <c r="C644" s="42">
        <f t="shared" si="9"/>
        <v>626</v>
      </c>
    </row>
    <row r="645" spans="1:3" x14ac:dyDescent="0.25">
      <c r="A645" s="198">
        <v>40549</v>
      </c>
      <c r="B645" s="241">
        <v>4.16</v>
      </c>
      <c r="C645" s="42">
        <f t="shared" si="9"/>
        <v>627</v>
      </c>
    </row>
    <row r="646" spans="1:3" x14ac:dyDescent="0.25">
      <c r="A646" s="198">
        <v>40556</v>
      </c>
      <c r="B646" s="241">
        <v>4.2</v>
      </c>
      <c r="C646" s="42">
        <f t="shared" si="9"/>
        <v>628</v>
      </c>
    </row>
    <row r="647" spans="1:3" x14ac:dyDescent="0.25">
      <c r="A647" s="198">
        <v>40563</v>
      </c>
      <c r="B647" s="241">
        <v>4.13</v>
      </c>
      <c r="C647" s="42">
        <f t="shared" si="9"/>
        <v>629</v>
      </c>
    </row>
    <row r="648" spans="1:3" x14ac:dyDescent="0.25">
      <c r="A648" s="198">
        <v>40570</v>
      </c>
      <c r="B648" s="241">
        <v>4.05</v>
      </c>
      <c r="C648" s="42">
        <f t="shared" si="9"/>
        <v>630</v>
      </c>
    </row>
    <row r="649" spans="1:3" x14ac:dyDescent="0.25">
      <c r="A649" s="198">
        <v>40577</v>
      </c>
      <c r="B649" s="241">
        <v>4.04</v>
      </c>
      <c r="C649" s="42">
        <f t="shared" si="9"/>
        <v>631</v>
      </c>
    </row>
    <row r="650" spans="1:3" x14ac:dyDescent="0.25">
      <c r="A650" s="198">
        <v>40584</v>
      </c>
      <c r="B650" s="241">
        <v>4.05</v>
      </c>
      <c r="C650" s="42">
        <f t="shared" si="9"/>
        <v>632</v>
      </c>
    </row>
    <row r="651" spans="1:3" x14ac:dyDescent="0.25">
      <c r="A651" s="198">
        <v>40591</v>
      </c>
      <c r="B651" s="241">
        <v>3.94</v>
      </c>
      <c r="C651" s="42">
        <f t="shared" si="9"/>
        <v>633</v>
      </c>
    </row>
    <row r="652" spans="1:3" x14ac:dyDescent="0.25">
      <c r="A652" s="198">
        <v>40598</v>
      </c>
      <c r="B652" s="241">
        <v>4.1399999999999997</v>
      </c>
      <c r="C652" s="42">
        <f t="shared" si="9"/>
        <v>634</v>
      </c>
    </row>
    <row r="653" spans="1:3" x14ac:dyDescent="0.25">
      <c r="A653" s="198">
        <v>40605</v>
      </c>
      <c r="B653" s="241">
        <v>4.22</v>
      </c>
      <c r="C653" s="42">
        <f t="shared" si="9"/>
        <v>635</v>
      </c>
    </row>
    <row r="654" spans="1:3" x14ac:dyDescent="0.25">
      <c r="A654" s="198">
        <v>40612</v>
      </c>
      <c r="B654" s="241">
        <v>4.28</v>
      </c>
      <c r="C654" s="42">
        <f t="shared" si="9"/>
        <v>636</v>
      </c>
    </row>
    <row r="655" spans="1:3" x14ac:dyDescent="0.25">
      <c r="A655" s="198">
        <v>40619</v>
      </c>
      <c r="B655" s="241">
        <v>4.24</v>
      </c>
      <c r="C655" s="42">
        <f t="shared" si="9"/>
        <v>637</v>
      </c>
    </row>
    <row r="656" spans="1:3" x14ac:dyDescent="0.25">
      <c r="A656" s="198">
        <v>40626</v>
      </c>
      <c r="B656" s="241">
        <v>4.3</v>
      </c>
      <c r="C656" s="42">
        <f t="shared" si="9"/>
        <v>638</v>
      </c>
    </row>
    <row r="657" spans="1:3" x14ac:dyDescent="0.25">
      <c r="A657" s="198">
        <v>40633</v>
      </c>
      <c r="B657" s="241">
        <v>4.3</v>
      </c>
      <c r="C657" s="42">
        <f t="shared" si="9"/>
        <v>639</v>
      </c>
    </row>
    <row r="658" spans="1:3" x14ac:dyDescent="0.25">
      <c r="A658" s="198">
        <v>40640</v>
      </c>
      <c r="B658" s="241">
        <v>4.26</v>
      </c>
      <c r="C658" s="42">
        <f t="shared" si="9"/>
        <v>640</v>
      </c>
    </row>
    <row r="659" spans="1:3" x14ac:dyDescent="0.25">
      <c r="A659" s="198">
        <v>40647</v>
      </c>
      <c r="B659" s="241">
        <v>4.28</v>
      </c>
      <c r="C659" s="42">
        <f t="shared" si="9"/>
        <v>641</v>
      </c>
    </row>
    <row r="660" spans="1:3" x14ac:dyDescent="0.25">
      <c r="A660" s="198">
        <v>40653</v>
      </c>
      <c r="B660" s="241">
        <v>4.33</v>
      </c>
      <c r="C660" s="42">
        <f t="shared" si="9"/>
        <v>642</v>
      </c>
    </row>
    <row r="661" spans="1:3" x14ac:dyDescent="0.25">
      <c r="A661" s="198">
        <v>40661</v>
      </c>
      <c r="B661" s="241">
        <v>4.24</v>
      </c>
      <c r="C661" s="42">
        <f t="shared" ref="C661:C724" si="10">+C660+1</f>
        <v>643</v>
      </c>
    </row>
    <row r="662" spans="1:3" x14ac:dyDescent="0.25">
      <c r="A662" s="198">
        <v>40668</v>
      </c>
      <c r="B662" s="241">
        <v>4.24</v>
      </c>
      <c r="C662" s="42">
        <f t="shared" si="10"/>
        <v>644</v>
      </c>
    </row>
    <row r="663" spans="1:3" x14ac:dyDescent="0.25">
      <c r="A663" s="198">
        <v>40675</v>
      </c>
      <c r="B663" s="241">
        <v>4.2699999999999996</v>
      </c>
      <c r="C663" s="42">
        <f t="shared" si="10"/>
        <v>645</v>
      </c>
    </row>
    <row r="664" spans="1:3" x14ac:dyDescent="0.25">
      <c r="A664" s="198">
        <v>40682</v>
      </c>
      <c r="B664" s="241">
        <v>4.34</v>
      </c>
      <c r="C664" s="42">
        <f t="shared" si="10"/>
        <v>646</v>
      </c>
    </row>
    <row r="665" spans="1:3" x14ac:dyDescent="0.25">
      <c r="A665" s="198">
        <v>40689</v>
      </c>
      <c r="B665" s="241">
        <v>4.3899999999999997</v>
      </c>
      <c r="C665" s="42">
        <f t="shared" si="10"/>
        <v>647</v>
      </c>
    </row>
    <row r="666" spans="1:3" x14ac:dyDescent="0.25">
      <c r="A666" s="198">
        <v>40696</v>
      </c>
      <c r="B666" s="241">
        <v>4.43</v>
      </c>
      <c r="C666" s="42">
        <f t="shared" si="10"/>
        <v>648</v>
      </c>
    </row>
    <row r="667" spans="1:3" x14ac:dyDescent="0.25">
      <c r="A667" s="198">
        <v>40703</v>
      </c>
      <c r="B667" s="241">
        <v>4.37</v>
      </c>
      <c r="C667" s="42">
        <f t="shared" si="10"/>
        <v>649</v>
      </c>
    </row>
    <row r="668" spans="1:3" x14ac:dyDescent="0.25">
      <c r="A668" s="198">
        <v>40710</v>
      </c>
      <c r="B668" s="241">
        <v>4.38</v>
      </c>
      <c r="C668" s="42">
        <f t="shared" si="10"/>
        <v>650</v>
      </c>
    </row>
    <row r="669" spans="1:3" x14ac:dyDescent="0.25">
      <c r="A669" s="198">
        <v>40717</v>
      </c>
      <c r="B669" s="241">
        <v>4.3499999999999996</v>
      </c>
      <c r="C669" s="42">
        <f t="shared" si="10"/>
        <v>651</v>
      </c>
    </row>
    <row r="670" spans="1:3" x14ac:dyDescent="0.25">
      <c r="A670" s="198">
        <v>40724</v>
      </c>
      <c r="B670" s="241">
        <v>4.33</v>
      </c>
      <c r="C670" s="42">
        <f t="shared" si="10"/>
        <v>652</v>
      </c>
    </row>
    <row r="671" spans="1:3" x14ac:dyDescent="0.25">
      <c r="A671" s="198">
        <v>40731</v>
      </c>
      <c r="B671" s="241">
        <v>4.18</v>
      </c>
      <c r="C671" s="42">
        <f t="shared" si="10"/>
        <v>653</v>
      </c>
    </row>
    <row r="672" spans="1:3" x14ac:dyDescent="0.25">
      <c r="A672" s="198">
        <v>40738</v>
      </c>
      <c r="B672" s="241">
        <v>4.1500000000000004</v>
      </c>
      <c r="C672" s="42">
        <f t="shared" si="10"/>
        <v>654</v>
      </c>
    </row>
    <row r="673" spans="1:3" x14ac:dyDescent="0.25">
      <c r="A673" s="198">
        <v>40745</v>
      </c>
      <c r="B673" s="241">
        <v>4.1500000000000004</v>
      </c>
      <c r="C673" s="42">
        <f t="shared" si="10"/>
        <v>655</v>
      </c>
    </row>
    <row r="674" spans="1:3" x14ac:dyDescent="0.25">
      <c r="A674" s="198">
        <v>40752</v>
      </c>
      <c r="B674" s="241">
        <v>4.08</v>
      </c>
      <c r="C674" s="42">
        <f t="shared" si="10"/>
        <v>656</v>
      </c>
    </row>
    <row r="675" spans="1:3" x14ac:dyDescent="0.25">
      <c r="A675" s="198">
        <v>40759</v>
      </c>
      <c r="B675" s="241">
        <v>3.96</v>
      </c>
      <c r="C675" s="42">
        <f t="shared" si="10"/>
        <v>657</v>
      </c>
    </row>
    <row r="676" spans="1:3" x14ac:dyDescent="0.25">
      <c r="A676" s="198">
        <v>40766</v>
      </c>
      <c r="B676" s="241">
        <v>3.99</v>
      </c>
      <c r="C676" s="42">
        <f t="shared" si="10"/>
        <v>658</v>
      </c>
    </row>
    <row r="677" spans="1:3" x14ac:dyDescent="0.25">
      <c r="A677" s="198">
        <v>40773</v>
      </c>
      <c r="B677" s="241">
        <v>4.09</v>
      </c>
      <c r="C677" s="42">
        <f t="shared" si="10"/>
        <v>659</v>
      </c>
    </row>
    <row r="678" spans="1:3" x14ac:dyDescent="0.25">
      <c r="A678" s="198">
        <v>40780</v>
      </c>
      <c r="B678" s="241">
        <v>4.17</v>
      </c>
      <c r="C678" s="42">
        <f t="shared" si="10"/>
        <v>660</v>
      </c>
    </row>
    <row r="679" spans="1:3" x14ac:dyDescent="0.25">
      <c r="A679" s="198">
        <v>40787</v>
      </c>
      <c r="B679" s="241">
        <v>4.1100000000000003</v>
      </c>
      <c r="C679" s="42">
        <f t="shared" si="10"/>
        <v>661</v>
      </c>
    </row>
    <row r="680" spans="1:3" x14ac:dyDescent="0.25">
      <c r="A680" s="198">
        <v>40794</v>
      </c>
      <c r="B680" s="241">
        <v>4.17</v>
      </c>
      <c r="C680" s="42">
        <f t="shared" si="10"/>
        <v>662</v>
      </c>
    </row>
    <row r="681" spans="1:3" x14ac:dyDescent="0.25">
      <c r="A681" s="198">
        <v>40801</v>
      </c>
      <c r="B681" s="241">
        <v>4.25</v>
      </c>
      <c r="C681" s="42">
        <f t="shared" si="10"/>
        <v>663</v>
      </c>
    </row>
    <row r="682" spans="1:3" x14ac:dyDescent="0.25">
      <c r="A682" s="198">
        <v>40808</v>
      </c>
      <c r="B682" s="241">
        <v>4.2699999999999996</v>
      </c>
      <c r="C682" s="42">
        <f t="shared" si="10"/>
        <v>664</v>
      </c>
    </row>
    <row r="683" spans="1:3" x14ac:dyDescent="0.25">
      <c r="A683" s="198">
        <v>40815</v>
      </c>
      <c r="B683" s="241">
        <v>4.34</v>
      </c>
      <c r="C683" s="42">
        <f t="shared" si="10"/>
        <v>665</v>
      </c>
    </row>
    <row r="684" spans="1:3" x14ac:dyDescent="0.25">
      <c r="A684" s="198">
        <v>40822</v>
      </c>
      <c r="B684" s="241">
        <v>4.3499999999999996</v>
      </c>
      <c r="C684" s="42">
        <f t="shared" si="10"/>
        <v>666</v>
      </c>
    </row>
    <row r="685" spans="1:3" x14ac:dyDescent="0.25">
      <c r="A685" s="198">
        <v>40829</v>
      </c>
      <c r="B685" s="241">
        <v>4.37</v>
      </c>
      <c r="C685" s="42">
        <f t="shared" si="10"/>
        <v>667</v>
      </c>
    </row>
    <row r="686" spans="1:3" x14ac:dyDescent="0.25">
      <c r="A686" s="198">
        <v>40836</v>
      </c>
      <c r="B686" s="241">
        <v>4.3499999999999996</v>
      </c>
      <c r="C686" s="42">
        <f t="shared" si="10"/>
        <v>668</v>
      </c>
    </row>
    <row r="687" spans="1:3" x14ac:dyDescent="0.25">
      <c r="A687" s="198">
        <v>40843</v>
      </c>
      <c r="B687" s="241">
        <v>4.37</v>
      </c>
      <c r="C687" s="42">
        <f t="shared" si="10"/>
        <v>669</v>
      </c>
    </row>
    <row r="688" spans="1:3" x14ac:dyDescent="0.25">
      <c r="A688" s="198">
        <v>40850</v>
      </c>
      <c r="B688" s="241">
        <v>4.38</v>
      </c>
      <c r="C688" s="42">
        <f t="shared" si="10"/>
        <v>670</v>
      </c>
    </row>
    <row r="689" spans="1:3" x14ac:dyDescent="0.25">
      <c r="A689" s="198">
        <v>40857</v>
      </c>
      <c r="B689" s="241">
        <v>4.3499999999999996</v>
      </c>
      <c r="C689" s="42">
        <f t="shared" si="10"/>
        <v>671</v>
      </c>
    </row>
    <row r="690" spans="1:3" x14ac:dyDescent="0.25">
      <c r="A690" s="198">
        <v>40864</v>
      </c>
      <c r="B690" s="241">
        <v>4.3499999999999996</v>
      </c>
      <c r="C690" s="42">
        <f t="shared" si="10"/>
        <v>672</v>
      </c>
    </row>
    <row r="691" spans="1:3" x14ac:dyDescent="0.25">
      <c r="A691" s="198">
        <v>40871</v>
      </c>
      <c r="B691" s="241">
        <v>4.32</v>
      </c>
      <c r="C691" s="42">
        <f t="shared" si="10"/>
        <v>673</v>
      </c>
    </row>
    <row r="692" spans="1:3" x14ac:dyDescent="0.25">
      <c r="A692" s="198">
        <v>40878</v>
      </c>
      <c r="B692" s="241">
        <v>4.3899999999999997</v>
      </c>
      <c r="C692" s="42">
        <f t="shared" si="10"/>
        <v>674</v>
      </c>
    </row>
    <row r="693" spans="1:3" x14ac:dyDescent="0.25">
      <c r="A693" s="198">
        <v>40885</v>
      </c>
      <c r="B693" s="241">
        <v>4.33</v>
      </c>
      <c r="C693" s="42">
        <f t="shared" si="10"/>
        <v>675</v>
      </c>
    </row>
    <row r="694" spans="1:3" x14ac:dyDescent="0.25">
      <c r="A694" s="198">
        <v>40892</v>
      </c>
      <c r="B694" s="241">
        <v>4.33</v>
      </c>
      <c r="C694" s="42">
        <f t="shared" si="10"/>
        <v>676</v>
      </c>
    </row>
    <row r="695" spans="1:3" x14ac:dyDescent="0.25">
      <c r="A695" s="198">
        <v>40899</v>
      </c>
      <c r="B695" s="241">
        <v>4.33</v>
      </c>
      <c r="C695" s="42">
        <f t="shared" si="10"/>
        <v>677</v>
      </c>
    </row>
    <row r="696" spans="1:3" x14ac:dyDescent="0.25">
      <c r="A696" s="198">
        <v>40906</v>
      </c>
      <c r="B696" s="241">
        <v>4.3099999999999996</v>
      </c>
      <c r="C696" s="42">
        <f t="shared" si="10"/>
        <v>678</v>
      </c>
    </row>
    <row r="697" spans="1:3" x14ac:dyDescent="0.25">
      <c r="A697" s="198">
        <v>40913</v>
      </c>
      <c r="B697" s="241">
        <v>4.32</v>
      </c>
      <c r="C697" s="42">
        <f t="shared" si="10"/>
        <v>679</v>
      </c>
    </row>
    <row r="698" spans="1:3" x14ac:dyDescent="0.25">
      <c r="A698" s="198">
        <v>40920</v>
      </c>
      <c r="B698" s="241">
        <v>4.26</v>
      </c>
      <c r="C698" s="42">
        <f t="shared" si="10"/>
        <v>680</v>
      </c>
    </row>
    <row r="699" spans="1:3" x14ac:dyDescent="0.25">
      <c r="A699" s="198">
        <v>40927</v>
      </c>
      <c r="B699" s="241">
        <v>4.2699999999999996</v>
      </c>
      <c r="C699" s="42">
        <f t="shared" si="10"/>
        <v>681</v>
      </c>
    </row>
    <row r="700" spans="1:3" x14ac:dyDescent="0.25">
      <c r="A700" s="198">
        <v>40934</v>
      </c>
      <c r="B700" s="241">
        <v>4.24</v>
      </c>
      <c r="C700" s="42">
        <f t="shared" si="10"/>
        <v>682</v>
      </c>
    </row>
    <row r="701" spans="1:3" x14ac:dyDescent="0.25">
      <c r="A701" s="198">
        <v>40941</v>
      </c>
      <c r="B701" s="241">
        <v>4.24</v>
      </c>
      <c r="C701" s="42">
        <f t="shared" si="10"/>
        <v>683</v>
      </c>
    </row>
    <row r="702" spans="1:3" x14ac:dyDescent="0.25">
      <c r="A702" s="198">
        <v>40948</v>
      </c>
      <c r="B702" s="241">
        <v>4.34</v>
      </c>
      <c r="C702" s="42">
        <f t="shared" si="10"/>
        <v>684</v>
      </c>
    </row>
    <row r="703" spans="1:3" x14ac:dyDescent="0.25">
      <c r="A703" s="198">
        <v>40955</v>
      </c>
      <c r="B703" s="241">
        <v>4.3600000000000003</v>
      </c>
      <c r="C703" s="42">
        <f t="shared" si="10"/>
        <v>685</v>
      </c>
    </row>
    <row r="704" spans="1:3" x14ac:dyDescent="0.25">
      <c r="A704" s="198">
        <v>40962</v>
      </c>
      <c r="B704" s="241">
        <v>4.3499999999999996</v>
      </c>
      <c r="C704" s="42">
        <f t="shared" si="10"/>
        <v>686</v>
      </c>
    </row>
    <row r="705" spans="1:3" x14ac:dyDescent="0.25">
      <c r="A705" s="198">
        <v>40969</v>
      </c>
      <c r="B705" s="241">
        <v>4.2699999999999996</v>
      </c>
      <c r="C705" s="42">
        <f t="shared" si="10"/>
        <v>687</v>
      </c>
    </row>
    <row r="706" spans="1:3" x14ac:dyDescent="0.25">
      <c r="A706" s="198">
        <v>40976</v>
      </c>
      <c r="B706" s="241">
        <v>4.2699999999999996</v>
      </c>
      <c r="C706" s="42">
        <f t="shared" si="10"/>
        <v>688</v>
      </c>
    </row>
    <row r="707" spans="1:3" x14ac:dyDescent="0.25">
      <c r="A707" s="198">
        <v>40983</v>
      </c>
      <c r="B707" s="241">
        <v>4.18</v>
      </c>
      <c r="C707" s="42">
        <f t="shared" si="10"/>
        <v>689</v>
      </c>
    </row>
    <row r="708" spans="1:3" x14ac:dyDescent="0.25">
      <c r="A708" s="198">
        <v>40990</v>
      </c>
      <c r="B708" s="241">
        <v>4.21</v>
      </c>
      <c r="C708" s="42">
        <f t="shared" si="10"/>
        <v>690</v>
      </c>
    </row>
    <row r="709" spans="1:3" x14ac:dyDescent="0.25">
      <c r="A709" s="198">
        <v>40997</v>
      </c>
      <c r="B709" s="241">
        <v>4.28</v>
      </c>
      <c r="C709" s="42">
        <f t="shared" si="10"/>
        <v>691</v>
      </c>
    </row>
    <row r="710" spans="1:3" x14ac:dyDescent="0.25">
      <c r="A710" s="198">
        <v>41003</v>
      </c>
      <c r="B710" s="241">
        <v>4.25</v>
      </c>
      <c r="C710" s="42">
        <f t="shared" si="10"/>
        <v>692</v>
      </c>
    </row>
    <row r="711" spans="1:3" x14ac:dyDescent="0.25">
      <c r="A711" s="198">
        <v>41011</v>
      </c>
      <c r="B711" s="241">
        <v>4.26</v>
      </c>
      <c r="C711" s="42">
        <f t="shared" si="10"/>
        <v>693</v>
      </c>
    </row>
    <row r="712" spans="1:3" x14ac:dyDescent="0.25">
      <c r="A712" s="198">
        <v>41018</v>
      </c>
      <c r="B712" s="241">
        <v>4.33</v>
      </c>
      <c r="C712" s="42">
        <f t="shared" si="10"/>
        <v>694</v>
      </c>
    </row>
    <row r="713" spans="1:3" x14ac:dyDescent="0.25">
      <c r="A713" s="198">
        <v>41025</v>
      </c>
      <c r="B713" s="241">
        <v>4.33</v>
      </c>
      <c r="C713" s="42">
        <f t="shared" si="10"/>
        <v>695</v>
      </c>
    </row>
    <row r="714" spans="1:3" x14ac:dyDescent="0.25">
      <c r="A714" s="198">
        <v>41032</v>
      </c>
      <c r="B714" s="241">
        <v>4.33</v>
      </c>
      <c r="C714" s="42">
        <f t="shared" si="10"/>
        <v>696</v>
      </c>
    </row>
    <row r="715" spans="1:3" x14ac:dyDescent="0.25">
      <c r="A715" s="198">
        <v>41039</v>
      </c>
      <c r="B715" s="241">
        <v>4.34</v>
      </c>
      <c r="C715" s="42">
        <f t="shared" si="10"/>
        <v>697</v>
      </c>
    </row>
    <row r="716" spans="1:3" x14ac:dyDescent="0.25">
      <c r="A716" s="198">
        <v>41046</v>
      </c>
      <c r="B716" s="241">
        <v>4.42</v>
      </c>
      <c r="C716" s="42">
        <f t="shared" si="10"/>
        <v>698</v>
      </c>
    </row>
    <row r="717" spans="1:3" x14ac:dyDescent="0.25">
      <c r="A717" s="198">
        <v>41053</v>
      </c>
      <c r="B717" s="241">
        <v>4.42</v>
      </c>
      <c r="C717" s="42">
        <f t="shared" si="10"/>
        <v>699</v>
      </c>
    </row>
    <row r="718" spans="1:3" x14ac:dyDescent="0.25">
      <c r="A718" s="198">
        <v>41060</v>
      </c>
      <c r="B718" s="241">
        <v>4.4400000000000004</v>
      </c>
      <c r="C718" s="42">
        <f t="shared" si="10"/>
        <v>700</v>
      </c>
    </row>
    <row r="719" spans="1:3" x14ac:dyDescent="0.25">
      <c r="A719" s="198">
        <v>41067</v>
      </c>
      <c r="B719" s="241">
        <v>4.3499999999999996</v>
      </c>
      <c r="C719" s="42">
        <f t="shared" si="10"/>
        <v>701</v>
      </c>
    </row>
    <row r="720" spans="1:3" x14ac:dyDescent="0.25">
      <c r="A720" s="198">
        <v>41074</v>
      </c>
      <c r="B720" s="241">
        <v>4.3499999999999996</v>
      </c>
      <c r="C720" s="42">
        <f t="shared" si="10"/>
        <v>702</v>
      </c>
    </row>
    <row r="721" spans="1:3" x14ac:dyDescent="0.25">
      <c r="A721" s="198">
        <v>41081</v>
      </c>
      <c r="B721" s="241">
        <v>4.37</v>
      </c>
      <c r="C721" s="42">
        <f t="shared" si="10"/>
        <v>703</v>
      </c>
    </row>
    <row r="722" spans="1:3" x14ac:dyDescent="0.25">
      <c r="A722" s="198">
        <v>41088</v>
      </c>
      <c r="B722" s="241">
        <v>4.2699999999999996</v>
      </c>
      <c r="C722" s="42">
        <f t="shared" si="10"/>
        <v>704</v>
      </c>
    </row>
    <row r="723" spans="1:3" x14ac:dyDescent="0.25">
      <c r="A723" s="198">
        <v>41095</v>
      </c>
      <c r="B723" s="241">
        <v>4.17</v>
      </c>
      <c r="C723" s="42">
        <f t="shared" si="10"/>
        <v>705</v>
      </c>
    </row>
    <row r="724" spans="1:3" x14ac:dyDescent="0.25">
      <c r="A724" s="198">
        <v>41102</v>
      </c>
      <c r="B724" s="241">
        <v>4.16</v>
      </c>
      <c r="C724" s="42">
        <f t="shared" si="10"/>
        <v>706</v>
      </c>
    </row>
    <row r="725" spans="1:3" x14ac:dyDescent="0.25">
      <c r="A725" s="198">
        <v>41109</v>
      </c>
      <c r="B725" s="241">
        <v>4.1500000000000004</v>
      </c>
      <c r="C725" s="42">
        <f t="shared" ref="C725:C788" si="11">+C724+1</f>
        <v>707</v>
      </c>
    </row>
    <row r="726" spans="1:3" x14ac:dyDescent="0.25">
      <c r="A726" s="198">
        <v>41116</v>
      </c>
      <c r="B726" s="241">
        <v>4.13</v>
      </c>
      <c r="C726" s="42">
        <f t="shared" si="11"/>
        <v>708</v>
      </c>
    </row>
    <row r="727" spans="1:3" x14ac:dyDescent="0.25">
      <c r="A727" s="198">
        <v>41123</v>
      </c>
      <c r="B727" s="241">
        <v>4.09</v>
      </c>
      <c r="C727" s="42">
        <f t="shared" si="11"/>
        <v>709</v>
      </c>
    </row>
    <row r="728" spans="1:3" x14ac:dyDescent="0.25">
      <c r="A728" s="198">
        <v>41130</v>
      </c>
      <c r="B728" s="241">
        <v>4.09</v>
      </c>
      <c r="C728" s="42">
        <f t="shared" si="11"/>
        <v>710</v>
      </c>
    </row>
    <row r="729" spans="1:3" x14ac:dyDescent="0.25">
      <c r="A729" s="198">
        <v>41137</v>
      </c>
      <c r="B729" s="241">
        <v>4.09</v>
      </c>
      <c r="C729" s="42">
        <f t="shared" si="11"/>
        <v>711</v>
      </c>
    </row>
    <row r="730" spans="1:3" x14ac:dyDescent="0.25">
      <c r="A730" s="198">
        <v>41144</v>
      </c>
      <c r="B730" s="241">
        <v>4.2300000000000004</v>
      </c>
      <c r="C730" s="42">
        <f t="shared" si="11"/>
        <v>712</v>
      </c>
    </row>
    <row r="731" spans="1:3" x14ac:dyDescent="0.25">
      <c r="A731" s="198">
        <v>41151</v>
      </c>
      <c r="B731" s="241">
        <v>4.1500000000000004</v>
      </c>
      <c r="C731" s="42">
        <f t="shared" si="11"/>
        <v>713</v>
      </c>
    </row>
    <row r="732" spans="1:3" x14ac:dyDescent="0.25">
      <c r="A732" s="198">
        <v>41158</v>
      </c>
      <c r="B732" s="241">
        <v>4.17</v>
      </c>
      <c r="C732" s="42">
        <f t="shared" si="11"/>
        <v>714</v>
      </c>
    </row>
    <row r="733" spans="1:3" x14ac:dyDescent="0.25">
      <c r="A733" s="198">
        <v>41165</v>
      </c>
      <c r="B733" s="241">
        <v>4.2300000000000004</v>
      </c>
      <c r="C733" s="42">
        <f t="shared" si="11"/>
        <v>715</v>
      </c>
    </row>
    <row r="734" spans="1:3" x14ac:dyDescent="0.25">
      <c r="A734" s="198">
        <v>41172</v>
      </c>
      <c r="B734" s="241">
        <v>4.1500000000000004</v>
      </c>
      <c r="C734" s="42">
        <f t="shared" si="11"/>
        <v>716</v>
      </c>
    </row>
    <row r="735" spans="1:3" x14ac:dyDescent="0.25">
      <c r="A735" s="198">
        <v>41179</v>
      </c>
      <c r="B735" s="241">
        <v>4.12</v>
      </c>
      <c r="C735" s="42">
        <f t="shared" si="11"/>
        <v>717</v>
      </c>
    </row>
    <row r="736" spans="1:3" x14ac:dyDescent="0.25">
      <c r="A736" s="198">
        <v>41186</v>
      </c>
      <c r="B736" s="241">
        <v>4.2</v>
      </c>
      <c r="C736" s="42">
        <f t="shared" si="11"/>
        <v>718</v>
      </c>
    </row>
    <row r="737" spans="1:3" x14ac:dyDescent="0.25">
      <c r="A737" s="198">
        <v>41193</v>
      </c>
      <c r="B737" s="241">
        <v>4.17</v>
      </c>
      <c r="C737" s="42">
        <f t="shared" si="11"/>
        <v>719</v>
      </c>
    </row>
    <row r="738" spans="1:3" x14ac:dyDescent="0.25">
      <c r="A738" s="198">
        <v>41200</v>
      </c>
      <c r="B738" s="241">
        <v>4.2300000000000004</v>
      </c>
      <c r="C738" s="42">
        <f t="shared" si="11"/>
        <v>720</v>
      </c>
    </row>
    <row r="739" spans="1:3" x14ac:dyDescent="0.25">
      <c r="A739" s="198">
        <v>41207</v>
      </c>
      <c r="B739" s="241">
        <v>4.22</v>
      </c>
      <c r="C739" s="42">
        <f t="shared" si="11"/>
        <v>721</v>
      </c>
    </row>
    <row r="740" spans="1:3" x14ac:dyDescent="0.25">
      <c r="A740" s="198">
        <v>41214</v>
      </c>
      <c r="B740" s="241">
        <v>4.33</v>
      </c>
      <c r="C740" s="42">
        <f t="shared" si="11"/>
        <v>722</v>
      </c>
    </row>
    <row r="741" spans="1:3" x14ac:dyDescent="0.25">
      <c r="A741" s="198">
        <v>41221</v>
      </c>
      <c r="B741" s="241">
        <v>4.26</v>
      </c>
      <c r="C741" s="42">
        <f t="shared" si="11"/>
        <v>723</v>
      </c>
    </row>
    <row r="742" spans="1:3" x14ac:dyDescent="0.25">
      <c r="A742" s="198">
        <v>41228</v>
      </c>
      <c r="B742" s="241">
        <v>4.3099999999999996</v>
      </c>
      <c r="C742" s="42">
        <f t="shared" si="11"/>
        <v>724</v>
      </c>
    </row>
    <row r="743" spans="1:3" x14ac:dyDescent="0.25">
      <c r="A743" s="198">
        <v>41235</v>
      </c>
      <c r="B743" s="241">
        <v>4.28</v>
      </c>
      <c r="C743" s="42">
        <f t="shared" si="11"/>
        <v>725</v>
      </c>
    </row>
    <row r="744" spans="1:3" x14ac:dyDescent="0.25">
      <c r="A744" s="198">
        <v>41242</v>
      </c>
      <c r="B744" s="241">
        <v>4.25</v>
      </c>
      <c r="C744" s="42">
        <f t="shared" si="11"/>
        <v>726</v>
      </c>
    </row>
    <row r="745" spans="1:3" x14ac:dyDescent="0.25">
      <c r="A745" s="198">
        <v>41249</v>
      </c>
      <c r="B745" s="241">
        <v>4.2300000000000004</v>
      </c>
      <c r="C745" s="42">
        <f t="shared" si="11"/>
        <v>727</v>
      </c>
    </row>
    <row r="746" spans="1:3" x14ac:dyDescent="0.25">
      <c r="A746" s="198">
        <v>41256</v>
      </c>
      <c r="B746" s="241">
        <v>4.1399999999999997</v>
      </c>
      <c r="C746" s="42">
        <f t="shared" si="11"/>
        <v>728</v>
      </c>
    </row>
    <row r="747" spans="1:3" x14ac:dyDescent="0.25">
      <c r="A747" s="198">
        <v>41263</v>
      </c>
      <c r="B747" s="241">
        <v>3.93</v>
      </c>
      <c r="C747" s="42">
        <f t="shared" si="11"/>
        <v>729</v>
      </c>
    </row>
    <row r="748" spans="1:3" x14ac:dyDescent="0.25">
      <c r="A748" s="198">
        <v>41270</v>
      </c>
      <c r="B748" s="241">
        <v>3.91</v>
      </c>
      <c r="C748" s="42">
        <f t="shared" si="11"/>
        <v>730</v>
      </c>
    </row>
    <row r="749" spans="1:3" x14ac:dyDescent="0.25">
      <c r="A749" s="198">
        <v>41277</v>
      </c>
      <c r="B749" s="241">
        <v>4.04</v>
      </c>
      <c r="C749" s="42">
        <f t="shared" si="11"/>
        <v>731</v>
      </c>
    </row>
    <row r="750" spans="1:3" x14ac:dyDescent="0.25">
      <c r="A750" s="198">
        <v>41284</v>
      </c>
      <c r="B750" s="241">
        <v>4.12</v>
      </c>
      <c r="C750" s="42">
        <f t="shared" si="11"/>
        <v>732</v>
      </c>
    </row>
    <row r="751" spans="1:3" x14ac:dyDescent="0.25">
      <c r="A751" s="198">
        <v>41291</v>
      </c>
      <c r="B751" s="241">
        <v>4.12</v>
      </c>
      <c r="C751" s="42">
        <f t="shared" si="11"/>
        <v>733</v>
      </c>
    </row>
    <row r="752" spans="1:3" x14ac:dyDescent="0.25">
      <c r="A752" s="198">
        <v>41298</v>
      </c>
      <c r="B752" s="241">
        <v>4.26</v>
      </c>
      <c r="C752" s="42">
        <f t="shared" si="11"/>
        <v>734</v>
      </c>
    </row>
    <row r="753" spans="1:3" x14ac:dyDescent="0.25">
      <c r="A753" s="198">
        <v>41305</v>
      </c>
      <c r="B753" s="241">
        <v>4.2300000000000004</v>
      </c>
      <c r="C753" s="42">
        <f t="shared" si="11"/>
        <v>735</v>
      </c>
    </row>
    <row r="754" spans="1:3" x14ac:dyDescent="0.25">
      <c r="A754" s="198">
        <v>41312</v>
      </c>
      <c r="B754" s="241">
        <v>4.22</v>
      </c>
      <c r="C754" s="42">
        <f t="shared" si="11"/>
        <v>736</v>
      </c>
    </row>
    <row r="755" spans="1:3" x14ac:dyDescent="0.25">
      <c r="A755" s="198">
        <v>41319</v>
      </c>
      <c r="B755" s="241">
        <v>4.2</v>
      </c>
      <c r="C755" s="42">
        <f t="shared" si="11"/>
        <v>737</v>
      </c>
    </row>
    <row r="756" spans="1:3" x14ac:dyDescent="0.25">
      <c r="A756" s="198">
        <v>41326</v>
      </c>
      <c r="B756" s="241">
        <v>4.1900000000000004</v>
      </c>
      <c r="C756" s="42">
        <f t="shared" si="11"/>
        <v>738</v>
      </c>
    </row>
    <row r="757" spans="1:3" x14ac:dyDescent="0.25">
      <c r="A757" s="198">
        <v>41333</v>
      </c>
      <c r="B757" s="241">
        <v>4.13</v>
      </c>
      <c r="C757" s="42">
        <f t="shared" si="11"/>
        <v>739</v>
      </c>
    </row>
    <row r="758" spans="1:3" x14ac:dyDescent="0.25">
      <c r="A758" s="198">
        <v>41340</v>
      </c>
      <c r="B758" s="241">
        <v>4.07</v>
      </c>
      <c r="C758" s="42">
        <f t="shared" si="11"/>
        <v>740</v>
      </c>
    </row>
    <row r="759" spans="1:3" x14ac:dyDescent="0.25">
      <c r="A759" s="198">
        <v>41347</v>
      </c>
      <c r="B759" s="241">
        <v>3.96</v>
      </c>
      <c r="C759" s="42">
        <f t="shared" si="11"/>
        <v>741</v>
      </c>
    </row>
    <row r="760" spans="1:3" x14ac:dyDescent="0.25">
      <c r="A760" s="198">
        <v>41354</v>
      </c>
      <c r="B760" s="241">
        <v>3.95</v>
      </c>
      <c r="C760" s="42">
        <f t="shared" si="11"/>
        <v>742</v>
      </c>
    </row>
    <row r="761" spans="1:3" x14ac:dyDescent="0.25">
      <c r="A761" s="198">
        <v>41360</v>
      </c>
      <c r="B761" s="241">
        <v>3.95</v>
      </c>
      <c r="C761" s="42">
        <f t="shared" si="11"/>
        <v>743</v>
      </c>
    </row>
    <row r="762" spans="1:3" x14ac:dyDescent="0.25">
      <c r="A762" s="198">
        <v>41368</v>
      </c>
      <c r="B762" s="241">
        <v>3.88</v>
      </c>
      <c r="C762" s="42">
        <f t="shared" si="11"/>
        <v>744</v>
      </c>
    </row>
    <row r="763" spans="1:3" x14ac:dyDescent="0.25">
      <c r="A763" s="198">
        <v>41375</v>
      </c>
      <c r="B763" s="241">
        <v>3.81</v>
      </c>
      <c r="C763" s="42">
        <f t="shared" si="11"/>
        <v>745</v>
      </c>
    </row>
    <row r="764" spans="1:3" x14ac:dyDescent="0.25">
      <c r="A764" s="198">
        <v>41382</v>
      </c>
      <c r="B764" s="241">
        <v>3.81</v>
      </c>
      <c r="C764" s="42">
        <f t="shared" si="11"/>
        <v>746</v>
      </c>
    </row>
    <row r="765" spans="1:3" x14ac:dyDescent="0.25">
      <c r="A765" s="198">
        <v>41389</v>
      </c>
      <c r="B765" s="241">
        <v>3.76</v>
      </c>
      <c r="C765" s="42">
        <f t="shared" si="11"/>
        <v>747</v>
      </c>
    </row>
    <row r="766" spans="1:3" x14ac:dyDescent="0.25">
      <c r="A766" s="198">
        <v>41396</v>
      </c>
      <c r="B766" s="241">
        <v>3.76</v>
      </c>
      <c r="C766" s="42">
        <f t="shared" si="11"/>
        <v>748</v>
      </c>
    </row>
    <row r="767" spans="1:3" x14ac:dyDescent="0.25">
      <c r="A767" s="198">
        <v>41403</v>
      </c>
      <c r="B767" s="241">
        <v>3.71</v>
      </c>
      <c r="C767" s="42">
        <f t="shared" si="11"/>
        <v>749</v>
      </c>
    </row>
    <row r="768" spans="1:3" x14ac:dyDescent="0.25">
      <c r="A768" s="198">
        <v>41410</v>
      </c>
      <c r="B768" s="241">
        <v>3.72</v>
      </c>
      <c r="C768" s="42">
        <f t="shared" si="11"/>
        <v>750</v>
      </c>
    </row>
    <row r="769" spans="1:3" x14ac:dyDescent="0.25">
      <c r="A769" s="198">
        <v>41417</v>
      </c>
      <c r="B769" s="241">
        <v>3.72</v>
      </c>
      <c r="C769" s="42">
        <f t="shared" si="11"/>
        <v>751</v>
      </c>
    </row>
    <row r="770" spans="1:3" x14ac:dyDescent="0.25">
      <c r="A770" s="198">
        <v>41424</v>
      </c>
      <c r="B770" s="241">
        <v>3.71</v>
      </c>
      <c r="C770" s="42">
        <f t="shared" si="11"/>
        <v>752</v>
      </c>
    </row>
    <row r="771" spans="1:3" x14ac:dyDescent="0.25">
      <c r="A771" s="198">
        <v>41431</v>
      </c>
      <c r="B771" s="241">
        <v>3.71</v>
      </c>
      <c r="C771" s="42">
        <f t="shared" si="11"/>
        <v>753</v>
      </c>
    </row>
    <row r="772" spans="1:3" x14ac:dyDescent="0.25">
      <c r="A772" s="198">
        <v>41438</v>
      </c>
      <c r="B772" s="241">
        <v>3.77</v>
      </c>
      <c r="C772" s="42">
        <f t="shared" si="11"/>
        <v>754</v>
      </c>
    </row>
    <row r="773" spans="1:3" x14ac:dyDescent="0.25">
      <c r="A773" s="198">
        <v>41445</v>
      </c>
      <c r="B773" s="241">
        <v>3.81</v>
      </c>
      <c r="C773" s="42">
        <f t="shared" si="11"/>
        <v>755</v>
      </c>
    </row>
    <row r="774" spans="1:3" x14ac:dyDescent="0.25">
      <c r="A774" s="198">
        <v>41452</v>
      </c>
      <c r="B774" s="241">
        <v>3.82</v>
      </c>
      <c r="C774" s="42">
        <f t="shared" si="11"/>
        <v>756</v>
      </c>
    </row>
    <row r="775" spans="1:3" x14ac:dyDescent="0.25">
      <c r="A775" s="198">
        <v>41459</v>
      </c>
      <c r="B775" s="241">
        <v>3.8</v>
      </c>
      <c r="C775" s="42">
        <f t="shared" si="11"/>
        <v>757</v>
      </c>
    </row>
    <row r="776" spans="1:3" x14ac:dyDescent="0.25">
      <c r="A776" s="198">
        <v>41466</v>
      </c>
      <c r="B776" s="241">
        <v>3.83</v>
      </c>
      <c r="C776" s="42">
        <f t="shared" si="11"/>
        <v>758</v>
      </c>
    </row>
    <row r="777" spans="1:3" x14ac:dyDescent="0.25">
      <c r="A777" s="198">
        <v>41473</v>
      </c>
      <c r="B777" s="241">
        <v>3.85</v>
      </c>
      <c r="C777" s="42">
        <f t="shared" si="11"/>
        <v>759</v>
      </c>
    </row>
    <row r="778" spans="1:3" x14ac:dyDescent="0.25">
      <c r="A778" s="198">
        <v>41480</v>
      </c>
      <c r="B778" s="241">
        <v>3.9</v>
      </c>
      <c r="C778" s="42">
        <f t="shared" si="11"/>
        <v>760</v>
      </c>
    </row>
    <row r="779" spans="1:3" x14ac:dyDescent="0.25">
      <c r="A779" s="198">
        <v>41487</v>
      </c>
      <c r="B779" s="241">
        <v>3.88</v>
      </c>
      <c r="C779" s="42">
        <f t="shared" si="11"/>
        <v>761</v>
      </c>
    </row>
    <row r="780" spans="1:3" x14ac:dyDescent="0.25">
      <c r="A780" s="198">
        <v>41494</v>
      </c>
      <c r="B780" s="241">
        <v>3.84</v>
      </c>
      <c r="C780" s="42">
        <f t="shared" si="11"/>
        <v>762</v>
      </c>
    </row>
    <row r="781" spans="1:3" x14ac:dyDescent="0.25">
      <c r="A781" s="198">
        <v>41501</v>
      </c>
      <c r="B781" s="241">
        <v>3.84</v>
      </c>
      <c r="C781" s="42">
        <f t="shared" si="11"/>
        <v>763</v>
      </c>
    </row>
    <row r="782" spans="1:3" x14ac:dyDescent="0.25">
      <c r="A782" s="198">
        <v>41508</v>
      </c>
      <c r="B782" s="241">
        <v>3.83</v>
      </c>
      <c r="C782" s="42">
        <f t="shared" si="11"/>
        <v>764</v>
      </c>
    </row>
    <row r="783" spans="1:3" x14ac:dyDescent="0.25">
      <c r="A783" s="198">
        <v>41515</v>
      </c>
      <c r="B783" s="241">
        <v>3.83</v>
      </c>
      <c r="C783" s="42">
        <f t="shared" si="11"/>
        <v>765</v>
      </c>
    </row>
    <row r="784" spans="1:3" x14ac:dyDescent="0.25">
      <c r="A784" s="198">
        <v>41522</v>
      </c>
      <c r="B784" s="241">
        <v>3.83</v>
      </c>
      <c r="C784" s="42">
        <f t="shared" si="11"/>
        <v>766</v>
      </c>
    </row>
    <row r="785" spans="1:3" x14ac:dyDescent="0.25">
      <c r="A785" s="198">
        <v>41529</v>
      </c>
      <c r="B785" s="241">
        <v>3.65</v>
      </c>
      <c r="C785" s="42">
        <f t="shared" si="11"/>
        <v>767</v>
      </c>
    </row>
    <row r="786" spans="1:3" x14ac:dyDescent="0.25">
      <c r="A786" s="198">
        <v>41536</v>
      </c>
      <c r="B786" s="241">
        <v>3.56</v>
      </c>
      <c r="C786" s="42">
        <f t="shared" si="11"/>
        <v>768</v>
      </c>
    </row>
    <row r="787" spans="1:3" x14ac:dyDescent="0.25">
      <c r="A787" s="198">
        <v>41543</v>
      </c>
      <c r="B787" s="241">
        <v>3.5</v>
      </c>
      <c r="C787" s="42">
        <f t="shared" si="11"/>
        <v>769</v>
      </c>
    </row>
    <row r="788" spans="1:3" x14ac:dyDescent="0.25">
      <c r="A788" s="198">
        <v>41550</v>
      </c>
      <c r="B788" s="241">
        <v>3.44</v>
      </c>
      <c r="C788" s="42">
        <f t="shared" si="11"/>
        <v>770</v>
      </c>
    </row>
    <row r="789" spans="1:3" x14ac:dyDescent="0.25">
      <c r="A789" s="198">
        <v>41557</v>
      </c>
      <c r="B789" s="241">
        <v>3.4</v>
      </c>
      <c r="C789" s="42">
        <f t="shared" ref="C789:C852" si="12">+C788+1</f>
        <v>771</v>
      </c>
    </row>
    <row r="790" spans="1:3" x14ac:dyDescent="0.25">
      <c r="A790" s="198">
        <v>41564</v>
      </c>
      <c r="B790" s="241">
        <v>3.38</v>
      </c>
      <c r="C790" s="42">
        <f t="shared" si="12"/>
        <v>772</v>
      </c>
    </row>
    <row r="791" spans="1:3" x14ac:dyDescent="0.25">
      <c r="A791" s="198">
        <v>41571</v>
      </c>
      <c r="B791" s="241">
        <v>3.35</v>
      </c>
      <c r="C791" s="42">
        <f t="shared" si="12"/>
        <v>773</v>
      </c>
    </row>
    <row r="792" spans="1:3" x14ac:dyDescent="0.25">
      <c r="A792" s="198">
        <v>41578</v>
      </c>
      <c r="B792" s="241">
        <v>3.38</v>
      </c>
      <c r="C792" s="42">
        <f t="shared" si="12"/>
        <v>774</v>
      </c>
    </row>
    <row r="793" spans="1:3" x14ac:dyDescent="0.25">
      <c r="A793" s="198">
        <v>41585</v>
      </c>
      <c r="B793" s="241">
        <v>3.36</v>
      </c>
      <c r="C793" s="42">
        <f t="shared" si="12"/>
        <v>775</v>
      </c>
    </row>
    <row r="794" spans="1:3" x14ac:dyDescent="0.25">
      <c r="A794" s="198">
        <v>41592</v>
      </c>
      <c r="B794" s="241">
        <v>3.39</v>
      </c>
      <c r="C794" s="42">
        <f t="shared" si="12"/>
        <v>776</v>
      </c>
    </row>
    <row r="795" spans="1:3" x14ac:dyDescent="0.25">
      <c r="A795" s="198">
        <v>41599</v>
      </c>
      <c r="B795" s="241">
        <v>3.4</v>
      </c>
      <c r="C795" s="42">
        <f t="shared" si="12"/>
        <v>777</v>
      </c>
    </row>
    <row r="796" spans="1:3" x14ac:dyDescent="0.25">
      <c r="A796" s="198">
        <v>41606</v>
      </c>
      <c r="B796" s="241">
        <v>3.4</v>
      </c>
      <c r="C796" s="42">
        <f t="shared" si="12"/>
        <v>778</v>
      </c>
    </row>
    <row r="797" spans="1:3" x14ac:dyDescent="0.25">
      <c r="A797" s="198">
        <v>41613</v>
      </c>
      <c r="B797" s="241">
        <v>3.38</v>
      </c>
      <c r="C797" s="42">
        <f t="shared" si="12"/>
        <v>779</v>
      </c>
    </row>
    <row r="798" spans="1:3" x14ac:dyDescent="0.25">
      <c r="A798" s="198">
        <v>41619</v>
      </c>
      <c r="B798" s="241">
        <v>3.34</v>
      </c>
      <c r="C798" s="42">
        <f t="shared" si="12"/>
        <v>780</v>
      </c>
    </row>
    <row r="799" spans="1:3" x14ac:dyDescent="0.25">
      <c r="A799" s="198">
        <v>41627</v>
      </c>
      <c r="B799" s="241">
        <v>3.27</v>
      </c>
      <c r="C799" s="42">
        <f t="shared" si="12"/>
        <v>781</v>
      </c>
    </row>
    <row r="800" spans="1:3" x14ac:dyDescent="0.25">
      <c r="A800" s="198">
        <v>41634</v>
      </c>
      <c r="B800" s="241">
        <v>3.18</v>
      </c>
      <c r="C800" s="42">
        <f t="shared" si="12"/>
        <v>782</v>
      </c>
    </row>
    <row r="801" spans="1:3" x14ac:dyDescent="0.25">
      <c r="A801" s="198">
        <v>41641</v>
      </c>
      <c r="B801" s="241">
        <v>3.16</v>
      </c>
      <c r="C801" s="42">
        <f t="shared" si="12"/>
        <v>783</v>
      </c>
    </row>
    <row r="802" spans="1:3" x14ac:dyDescent="0.25">
      <c r="A802" s="198">
        <v>41648</v>
      </c>
      <c r="B802" s="241">
        <v>3.17</v>
      </c>
      <c r="C802" s="42">
        <f t="shared" si="12"/>
        <v>784</v>
      </c>
    </row>
    <row r="803" spans="1:3" x14ac:dyDescent="0.25">
      <c r="A803" s="198">
        <v>41655</v>
      </c>
      <c r="B803" s="241">
        <v>3.05</v>
      </c>
      <c r="C803" s="42">
        <f t="shared" si="12"/>
        <v>785</v>
      </c>
    </row>
    <row r="804" spans="1:3" x14ac:dyDescent="0.25">
      <c r="A804" s="198">
        <v>41662</v>
      </c>
      <c r="B804" s="241">
        <v>3.13</v>
      </c>
      <c r="C804" s="42">
        <f t="shared" si="12"/>
        <v>786</v>
      </c>
    </row>
    <row r="805" spans="1:3" x14ac:dyDescent="0.25">
      <c r="A805" s="198">
        <v>41669</v>
      </c>
      <c r="B805" s="241">
        <v>3.18</v>
      </c>
      <c r="C805" s="42">
        <f t="shared" si="12"/>
        <v>787</v>
      </c>
    </row>
    <row r="806" spans="1:3" x14ac:dyDescent="0.25">
      <c r="A806" s="198">
        <v>41676</v>
      </c>
      <c r="B806" s="241">
        <v>3.18</v>
      </c>
      <c r="C806" s="42">
        <f t="shared" si="12"/>
        <v>788</v>
      </c>
    </row>
    <row r="807" spans="1:3" x14ac:dyDescent="0.25">
      <c r="A807" s="198">
        <v>41683</v>
      </c>
      <c r="B807" s="241">
        <v>3.16</v>
      </c>
      <c r="C807" s="42">
        <f t="shared" si="12"/>
        <v>789</v>
      </c>
    </row>
    <row r="808" spans="1:3" x14ac:dyDescent="0.25">
      <c r="A808" s="198">
        <v>41690</v>
      </c>
      <c r="B808" s="241">
        <v>3.14</v>
      </c>
      <c r="C808" s="42">
        <f t="shared" si="12"/>
        <v>790</v>
      </c>
    </row>
    <row r="809" spans="1:3" x14ac:dyDescent="0.25">
      <c r="A809" s="198">
        <v>41697</v>
      </c>
      <c r="B809" s="241">
        <v>3.15</v>
      </c>
      <c r="C809" s="42">
        <f t="shared" si="12"/>
        <v>791</v>
      </c>
    </row>
    <row r="810" spans="1:3" x14ac:dyDescent="0.25">
      <c r="A810" s="198">
        <v>41704</v>
      </c>
      <c r="B810" s="241">
        <v>3.16</v>
      </c>
      <c r="C810" s="42">
        <f t="shared" si="12"/>
        <v>792</v>
      </c>
    </row>
    <row r="811" spans="1:3" x14ac:dyDescent="0.25">
      <c r="A811" s="198">
        <v>41711</v>
      </c>
      <c r="B811" s="241">
        <v>3.14</v>
      </c>
      <c r="C811" s="42">
        <f t="shared" si="12"/>
        <v>793</v>
      </c>
    </row>
    <row r="812" spans="1:3" x14ac:dyDescent="0.25">
      <c r="A812" s="198">
        <v>41718</v>
      </c>
      <c r="B812" s="241">
        <v>3.19</v>
      </c>
      <c r="C812" s="42">
        <f t="shared" si="12"/>
        <v>794</v>
      </c>
    </row>
    <row r="813" spans="1:3" x14ac:dyDescent="0.25">
      <c r="A813" s="198">
        <v>41725</v>
      </c>
      <c r="B813" s="241">
        <v>3.19</v>
      </c>
      <c r="C813" s="42">
        <f t="shared" si="12"/>
        <v>795</v>
      </c>
    </row>
    <row r="814" spans="1:3" x14ac:dyDescent="0.25">
      <c r="A814" s="198">
        <v>41732</v>
      </c>
      <c r="B814" s="241">
        <v>3.22</v>
      </c>
      <c r="C814" s="42">
        <f t="shared" si="12"/>
        <v>796</v>
      </c>
    </row>
    <row r="815" spans="1:3" x14ac:dyDescent="0.25">
      <c r="A815" s="198">
        <v>41739</v>
      </c>
      <c r="B815" s="241">
        <v>3.2</v>
      </c>
      <c r="C815" s="42">
        <f t="shared" si="12"/>
        <v>797</v>
      </c>
    </row>
    <row r="816" spans="1:3" x14ac:dyDescent="0.25">
      <c r="A816" s="198">
        <v>41745</v>
      </c>
      <c r="B816" s="241">
        <v>3.22</v>
      </c>
      <c r="C816" s="42">
        <f t="shared" si="12"/>
        <v>798</v>
      </c>
    </row>
    <row r="817" spans="1:3" x14ac:dyDescent="0.25">
      <c r="A817" s="198">
        <v>41753</v>
      </c>
      <c r="B817" s="241">
        <v>3.25</v>
      </c>
      <c r="C817" s="42">
        <f t="shared" si="12"/>
        <v>799</v>
      </c>
    </row>
    <row r="818" spans="1:3" x14ac:dyDescent="0.25">
      <c r="A818" s="198">
        <v>41759</v>
      </c>
      <c r="B818" s="241">
        <v>3.25</v>
      </c>
      <c r="C818" s="42">
        <f t="shared" si="12"/>
        <v>800</v>
      </c>
    </row>
    <row r="819" spans="1:3" x14ac:dyDescent="0.25">
      <c r="A819" s="198">
        <v>41767</v>
      </c>
      <c r="B819" s="241">
        <v>3.25</v>
      </c>
      <c r="C819" s="42">
        <f t="shared" si="12"/>
        <v>801</v>
      </c>
    </row>
    <row r="820" spans="1:3" x14ac:dyDescent="0.25">
      <c r="A820" s="198">
        <v>41774</v>
      </c>
      <c r="B820" s="241">
        <v>3.26</v>
      </c>
      <c r="C820" s="42">
        <f t="shared" si="12"/>
        <v>802</v>
      </c>
    </row>
    <row r="821" spans="1:3" x14ac:dyDescent="0.25">
      <c r="A821" s="198">
        <v>41781</v>
      </c>
      <c r="B821" s="241">
        <v>3.28</v>
      </c>
      <c r="C821" s="42">
        <f t="shared" si="12"/>
        <v>803</v>
      </c>
    </row>
    <row r="822" spans="1:3" x14ac:dyDescent="0.25">
      <c r="A822" s="198">
        <v>41788</v>
      </c>
      <c r="B822" s="241">
        <v>3.31</v>
      </c>
      <c r="C822" s="42">
        <f t="shared" si="12"/>
        <v>804</v>
      </c>
    </row>
    <row r="823" spans="1:3" x14ac:dyDescent="0.25">
      <c r="A823" s="198">
        <v>41795</v>
      </c>
      <c r="B823" s="241">
        <v>3.29</v>
      </c>
      <c r="C823" s="42">
        <f t="shared" si="12"/>
        <v>805</v>
      </c>
    </row>
    <row r="824" spans="1:3" x14ac:dyDescent="0.25">
      <c r="A824" s="198">
        <v>41802</v>
      </c>
      <c r="B824" s="241">
        <v>2.92</v>
      </c>
      <c r="C824" s="42">
        <f t="shared" si="12"/>
        <v>806</v>
      </c>
    </row>
    <row r="825" spans="1:3" x14ac:dyDescent="0.25">
      <c r="A825" s="198">
        <v>41809</v>
      </c>
      <c r="B825" s="241">
        <v>2.95</v>
      </c>
      <c r="C825" s="42">
        <f t="shared" si="12"/>
        <v>807</v>
      </c>
    </row>
    <row r="826" spans="1:3" x14ac:dyDescent="0.25">
      <c r="A826" s="198">
        <v>41816</v>
      </c>
      <c r="B826" s="241">
        <v>2.9</v>
      </c>
      <c r="C826" s="42">
        <f t="shared" si="12"/>
        <v>808</v>
      </c>
    </row>
    <row r="827" spans="1:3" x14ac:dyDescent="0.25">
      <c r="A827" s="198">
        <v>41823</v>
      </c>
      <c r="B827" s="241">
        <v>2.85</v>
      </c>
      <c r="C827" s="42">
        <f t="shared" si="12"/>
        <v>809</v>
      </c>
    </row>
    <row r="828" spans="1:3" x14ac:dyDescent="0.25">
      <c r="A828" s="198">
        <v>41830</v>
      </c>
      <c r="B828" s="241">
        <v>2.85</v>
      </c>
      <c r="C828" s="42">
        <f t="shared" si="12"/>
        <v>810</v>
      </c>
    </row>
    <row r="829" spans="1:3" x14ac:dyDescent="0.25">
      <c r="A829" s="198">
        <v>41837</v>
      </c>
      <c r="B829" s="241">
        <v>2.84</v>
      </c>
      <c r="C829" s="42">
        <f t="shared" si="12"/>
        <v>811</v>
      </c>
    </row>
    <row r="830" spans="1:3" x14ac:dyDescent="0.25">
      <c r="A830" s="198">
        <v>41844</v>
      </c>
      <c r="B830" s="241">
        <v>2.82</v>
      </c>
      <c r="C830" s="42">
        <f t="shared" si="12"/>
        <v>812</v>
      </c>
    </row>
    <row r="831" spans="1:3" x14ac:dyDescent="0.25">
      <c r="A831" s="198">
        <v>41851</v>
      </c>
      <c r="B831" s="241">
        <v>2.8</v>
      </c>
      <c r="C831" s="42">
        <f t="shared" si="12"/>
        <v>813</v>
      </c>
    </row>
    <row r="832" spans="1:3" x14ac:dyDescent="0.25">
      <c r="A832" s="198">
        <v>41858</v>
      </c>
      <c r="B832" s="241">
        <v>2.78</v>
      </c>
      <c r="C832" s="42">
        <f t="shared" si="12"/>
        <v>814</v>
      </c>
    </row>
    <row r="833" spans="1:3" x14ac:dyDescent="0.25">
      <c r="A833" s="198">
        <v>41865</v>
      </c>
      <c r="B833" s="241">
        <v>2.77</v>
      </c>
      <c r="C833" s="42">
        <f t="shared" si="12"/>
        <v>815</v>
      </c>
    </row>
    <row r="834" spans="1:3" x14ac:dyDescent="0.25">
      <c r="A834" s="198">
        <v>41872</v>
      </c>
      <c r="B834" s="241">
        <v>2.76</v>
      </c>
      <c r="C834" s="42">
        <f t="shared" si="12"/>
        <v>816</v>
      </c>
    </row>
    <row r="835" spans="1:3" x14ac:dyDescent="0.25">
      <c r="A835" s="198">
        <v>41879</v>
      </c>
      <c r="B835" s="241">
        <v>2.76</v>
      </c>
      <c r="C835" s="42">
        <f t="shared" si="12"/>
        <v>817</v>
      </c>
    </row>
    <row r="836" spans="1:3" x14ac:dyDescent="0.25">
      <c r="A836" s="198">
        <v>41886</v>
      </c>
      <c r="B836" s="241">
        <v>2.76</v>
      </c>
      <c r="C836" s="42">
        <f t="shared" si="12"/>
        <v>818</v>
      </c>
    </row>
    <row r="837" spans="1:3" x14ac:dyDescent="0.25">
      <c r="A837" s="198">
        <v>41893</v>
      </c>
      <c r="B837" s="241">
        <v>2.84</v>
      </c>
      <c r="C837" s="42">
        <f t="shared" si="12"/>
        <v>819</v>
      </c>
    </row>
    <row r="838" spans="1:3" x14ac:dyDescent="0.25">
      <c r="A838" s="198">
        <v>41900</v>
      </c>
      <c r="B838" s="241">
        <v>2.86</v>
      </c>
      <c r="C838" s="42">
        <f t="shared" si="12"/>
        <v>820</v>
      </c>
    </row>
    <row r="839" spans="1:3" x14ac:dyDescent="0.25">
      <c r="A839" s="198">
        <v>41907</v>
      </c>
      <c r="B839" s="241">
        <v>2.86</v>
      </c>
      <c r="C839" s="42">
        <f t="shared" si="12"/>
        <v>821</v>
      </c>
    </row>
    <row r="840" spans="1:3" x14ac:dyDescent="0.25">
      <c r="A840" s="198">
        <v>41914</v>
      </c>
      <c r="B840" s="241">
        <v>2.85</v>
      </c>
      <c r="C840" s="42">
        <f t="shared" si="12"/>
        <v>822</v>
      </c>
    </row>
    <row r="841" spans="1:3" x14ac:dyDescent="0.25">
      <c r="A841" s="198">
        <v>41921</v>
      </c>
      <c r="B841" s="241">
        <v>2.86</v>
      </c>
      <c r="C841" s="42">
        <f t="shared" si="12"/>
        <v>823</v>
      </c>
    </row>
    <row r="842" spans="1:3" x14ac:dyDescent="0.25">
      <c r="A842" s="198">
        <v>41928</v>
      </c>
      <c r="B842" s="241">
        <v>2.96</v>
      </c>
      <c r="C842" s="42">
        <f t="shared" si="12"/>
        <v>824</v>
      </c>
    </row>
    <row r="843" spans="1:3" x14ac:dyDescent="0.25">
      <c r="A843" s="198">
        <v>41935</v>
      </c>
      <c r="B843" s="241">
        <v>2.93</v>
      </c>
      <c r="C843" s="42">
        <f t="shared" si="12"/>
        <v>825</v>
      </c>
    </row>
    <row r="844" spans="1:3" x14ac:dyDescent="0.25">
      <c r="A844" s="198">
        <v>41942</v>
      </c>
      <c r="B844" s="241">
        <v>2.9</v>
      </c>
      <c r="C844" s="42">
        <f t="shared" si="12"/>
        <v>826</v>
      </c>
    </row>
    <row r="845" spans="1:3" x14ac:dyDescent="0.25">
      <c r="A845" s="198">
        <v>41949</v>
      </c>
      <c r="B845" s="241">
        <v>2.91</v>
      </c>
      <c r="C845" s="42">
        <f t="shared" si="12"/>
        <v>827</v>
      </c>
    </row>
    <row r="846" spans="1:3" x14ac:dyDescent="0.25">
      <c r="A846" s="198">
        <v>41956</v>
      </c>
      <c r="B846" s="241">
        <v>2.9</v>
      </c>
      <c r="C846" s="42">
        <f t="shared" si="12"/>
        <v>828</v>
      </c>
    </row>
    <row r="847" spans="1:3" x14ac:dyDescent="0.25">
      <c r="A847" s="198">
        <v>41963</v>
      </c>
      <c r="B847" s="241">
        <v>2.83</v>
      </c>
      <c r="C847" s="42">
        <f t="shared" si="12"/>
        <v>829</v>
      </c>
    </row>
    <row r="848" spans="1:3" x14ac:dyDescent="0.25">
      <c r="A848" s="198">
        <v>41970</v>
      </c>
      <c r="B848" s="241">
        <v>2.76</v>
      </c>
      <c r="C848" s="42">
        <f t="shared" si="12"/>
        <v>830</v>
      </c>
    </row>
    <row r="849" spans="1:3" x14ac:dyDescent="0.25">
      <c r="A849" s="198">
        <v>41977</v>
      </c>
      <c r="B849" s="241">
        <v>2.84</v>
      </c>
      <c r="C849" s="42">
        <f t="shared" si="12"/>
        <v>831</v>
      </c>
    </row>
    <row r="850" spans="1:3" x14ac:dyDescent="0.25">
      <c r="A850" s="198">
        <v>41984</v>
      </c>
      <c r="B850" s="241">
        <v>2.85</v>
      </c>
      <c r="C850" s="42">
        <f t="shared" si="12"/>
        <v>832</v>
      </c>
    </row>
    <row r="851" spans="1:3" x14ac:dyDescent="0.25">
      <c r="A851" s="198">
        <v>41991</v>
      </c>
      <c r="B851" s="241">
        <v>2.84</v>
      </c>
      <c r="C851" s="42">
        <f t="shared" si="12"/>
        <v>833</v>
      </c>
    </row>
    <row r="852" spans="1:3" x14ac:dyDescent="0.25">
      <c r="A852" s="198">
        <v>41997</v>
      </c>
      <c r="B852" s="241">
        <v>2.78</v>
      </c>
      <c r="C852" s="42">
        <f t="shared" si="12"/>
        <v>834</v>
      </c>
    </row>
    <row r="853" spans="1:3" x14ac:dyDescent="0.25">
      <c r="A853" s="198">
        <v>42004</v>
      </c>
      <c r="B853" s="241">
        <v>2.74</v>
      </c>
      <c r="C853" s="42">
        <f t="shared" ref="C853:C916" si="13">+C852+1</f>
        <v>835</v>
      </c>
    </row>
    <row r="854" spans="1:3" x14ac:dyDescent="0.25">
      <c r="A854" s="198">
        <v>42012</v>
      </c>
      <c r="B854" s="241">
        <v>2.4300000000000002</v>
      </c>
      <c r="C854" s="42">
        <f t="shared" si="13"/>
        <v>836</v>
      </c>
    </row>
    <row r="855" spans="1:3" x14ac:dyDescent="0.25">
      <c r="A855" s="198">
        <v>42019</v>
      </c>
      <c r="B855" s="241">
        <v>2.79</v>
      </c>
      <c r="C855" s="42">
        <f t="shared" si="13"/>
        <v>837</v>
      </c>
    </row>
    <row r="856" spans="1:3" x14ac:dyDescent="0.25">
      <c r="A856" s="198">
        <v>42026</v>
      </c>
      <c r="B856" s="241">
        <v>2.72</v>
      </c>
      <c r="C856" s="42">
        <f t="shared" si="13"/>
        <v>838</v>
      </c>
    </row>
    <row r="857" spans="1:3" x14ac:dyDescent="0.25">
      <c r="A857" s="198">
        <v>42033</v>
      </c>
      <c r="B857" s="241">
        <v>2.75</v>
      </c>
      <c r="C857" s="42">
        <f t="shared" si="13"/>
        <v>839</v>
      </c>
    </row>
    <row r="858" spans="1:3" x14ac:dyDescent="0.25">
      <c r="A858" s="198">
        <v>42040</v>
      </c>
      <c r="B858" s="241">
        <v>2.74</v>
      </c>
      <c r="C858" s="42">
        <f t="shared" si="13"/>
        <v>840</v>
      </c>
    </row>
    <row r="859" spans="1:3" x14ac:dyDescent="0.25">
      <c r="A859" s="198">
        <v>42047</v>
      </c>
      <c r="B859" s="241">
        <v>2.78</v>
      </c>
      <c r="C859" s="42">
        <f t="shared" si="13"/>
        <v>841</v>
      </c>
    </row>
    <row r="860" spans="1:3" x14ac:dyDescent="0.25">
      <c r="A860" s="198">
        <v>42054</v>
      </c>
      <c r="B860" s="241">
        <v>2.83</v>
      </c>
      <c r="C860" s="42">
        <f t="shared" si="13"/>
        <v>842</v>
      </c>
    </row>
    <row r="861" spans="1:3" x14ac:dyDescent="0.25">
      <c r="A861" s="198">
        <v>42061</v>
      </c>
      <c r="B861" s="241">
        <v>2.9</v>
      </c>
      <c r="C861" s="42">
        <f t="shared" si="13"/>
        <v>843</v>
      </c>
    </row>
    <row r="862" spans="1:3" x14ac:dyDescent="0.25">
      <c r="A862" s="198">
        <v>42068</v>
      </c>
      <c r="B862" s="241">
        <v>3.01</v>
      </c>
      <c r="C862" s="42">
        <f t="shared" si="13"/>
        <v>844</v>
      </c>
    </row>
    <row r="863" spans="1:3" x14ac:dyDescent="0.25">
      <c r="A863" s="198">
        <v>42075</v>
      </c>
      <c r="B863" s="241">
        <v>3.05</v>
      </c>
      <c r="C863" s="42">
        <f t="shared" si="13"/>
        <v>845</v>
      </c>
    </row>
    <row r="864" spans="1:3" x14ac:dyDescent="0.25">
      <c r="A864" s="198">
        <v>42082</v>
      </c>
      <c r="B864" s="241">
        <v>3.04</v>
      </c>
      <c r="C864" s="42">
        <f t="shared" si="13"/>
        <v>846</v>
      </c>
    </row>
    <row r="865" spans="1:3" x14ac:dyDescent="0.25">
      <c r="A865" s="198">
        <v>42089</v>
      </c>
      <c r="B865" s="241">
        <v>3.05</v>
      </c>
      <c r="C865" s="42">
        <f t="shared" si="13"/>
        <v>847</v>
      </c>
    </row>
    <row r="866" spans="1:3" x14ac:dyDescent="0.25">
      <c r="A866" s="198">
        <v>42095</v>
      </c>
      <c r="B866" s="241">
        <v>3.02</v>
      </c>
      <c r="C866" s="42">
        <f t="shared" si="13"/>
        <v>848</v>
      </c>
    </row>
    <row r="867" spans="1:3" x14ac:dyDescent="0.25">
      <c r="A867" s="198">
        <v>42103</v>
      </c>
      <c r="B867" s="241">
        <v>3.02</v>
      </c>
      <c r="C867" s="42">
        <f t="shared" si="13"/>
        <v>849</v>
      </c>
    </row>
    <row r="868" spans="1:3" x14ac:dyDescent="0.25">
      <c r="A868" s="198">
        <v>42110</v>
      </c>
      <c r="B868" s="241">
        <v>3</v>
      </c>
      <c r="C868" s="42">
        <f t="shared" si="13"/>
        <v>850</v>
      </c>
    </row>
    <row r="869" spans="1:3" x14ac:dyDescent="0.25">
      <c r="A869" s="198">
        <v>42117</v>
      </c>
      <c r="B869" s="241">
        <v>2.96</v>
      </c>
      <c r="C869" s="42">
        <f t="shared" si="13"/>
        <v>851</v>
      </c>
    </row>
    <row r="870" spans="1:3" x14ac:dyDescent="0.25">
      <c r="A870" s="198">
        <v>42124</v>
      </c>
      <c r="B870" s="241">
        <v>2.85</v>
      </c>
      <c r="C870" s="42">
        <f t="shared" si="13"/>
        <v>852</v>
      </c>
    </row>
    <row r="871" spans="1:3" x14ac:dyDescent="0.25">
      <c r="A871" s="198">
        <v>42131</v>
      </c>
      <c r="B871" s="241">
        <v>2.98</v>
      </c>
      <c r="C871" s="42">
        <f t="shared" si="13"/>
        <v>853</v>
      </c>
    </row>
    <row r="872" spans="1:3" x14ac:dyDescent="0.25">
      <c r="A872" s="198">
        <v>42138</v>
      </c>
      <c r="B872" s="241">
        <v>2.97</v>
      </c>
      <c r="C872" s="42">
        <f t="shared" si="13"/>
        <v>854</v>
      </c>
    </row>
    <row r="873" spans="1:3" x14ac:dyDescent="0.25">
      <c r="A873" s="198">
        <v>42145</v>
      </c>
      <c r="B873" s="241">
        <v>2.99</v>
      </c>
      <c r="C873" s="42">
        <f t="shared" si="13"/>
        <v>855</v>
      </c>
    </row>
    <row r="874" spans="1:3" x14ac:dyDescent="0.25">
      <c r="A874" s="198">
        <v>42152</v>
      </c>
      <c r="B874" s="241">
        <v>2.99</v>
      </c>
      <c r="C874" s="42">
        <f t="shared" si="13"/>
        <v>856</v>
      </c>
    </row>
    <row r="875" spans="1:3" x14ac:dyDescent="0.25">
      <c r="A875" s="198">
        <v>42159</v>
      </c>
      <c r="B875" s="241">
        <v>2.97</v>
      </c>
      <c r="C875" s="42">
        <f t="shared" si="13"/>
        <v>857</v>
      </c>
    </row>
    <row r="876" spans="1:3" x14ac:dyDescent="0.25">
      <c r="A876" s="198">
        <v>42166</v>
      </c>
      <c r="B876" s="241">
        <v>2.96</v>
      </c>
      <c r="C876" s="42">
        <f t="shared" si="13"/>
        <v>858</v>
      </c>
    </row>
    <row r="877" spans="1:3" x14ac:dyDescent="0.25">
      <c r="A877" s="198">
        <v>42173</v>
      </c>
      <c r="B877" s="241">
        <v>2.94</v>
      </c>
      <c r="C877" s="42">
        <f t="shared" si="13"/>
        <v>859</v>
      </c>
    </row>
    <row r="878" spans="1:3" x14ac:dyDescent="0.25">
      <c r="A878" s="198">
        <v>42180</v>
      </c>
      <c r="B878" s="241">
        <v>2.98</v>
      </c>
      <c r="C878" s="42">
        <f t="shared" si="13"/>
        <v>860</v>
      </c>
    </row>
    <row r="879" spans="1:3" x14ac:dyDescent="0.25">
      <c r="A879" s="198">
        <v>42187</v>
      </c>
      <c r="B879" s="241">
        <v>3</v>
      </c>
      <c r="C879" s="42">
        <f t="shared" si="13"/>
        <v>861</v>
      </c>
    </row>
    <row r="880" spans="1:3" x14ac:dyDescent="0.25">
      <c r="A880" s="198">
        <v>42194</v>
      </c>
      <c r="B880" s="241">
        <v>2.96</v>
      </c>
      <c r="C880" s="42">
        <f t="shared" si="13"/>
        <v>862</v>
      </c>
    </row>
    <row r="881" spans="1:3" x14ac:dyDescent="0.25">
      <c r="A881" s="198">
        <v>42201</v>
      </c>
      <c r="B881" s="241">
        <v>2.96</v>
      </c>
      <c r="C881" s="42">
        <f t="shared" si="13"/>
        <v>863</v>
      </c>
    </row>
    <row r="882" spans="1:3" x14ac:dyDescent="0.25">
      <c r="A882" s="198">
        <v>42208</v>
      </c>
      <c r="B882" s="241">
        <v>3.01</v>
      </c>
      <c r="C882" s="42">
        <f t="shared" si="13"/>
        <v>864</v>
      </c>
    </row>
    <row r="883" spans="1:3" x14ac:dyDescent="0.25">
      <c r="A883" s="198">
        <v>42215</v>
      </c>
      <c r="B883" s="241">
        <v>3.01</v>
      </c>
      <c r="C883" s="42">
        <f t="shared" si="13"/>
        <v>865</v>
      </c>
    </row>
    <row r="884" spans="1:3" x14ac:dyDescent="0.25">
      <c r="A884" s="198">
        <v>42222</v>
      </c>
      <c r="B884" s="241">
        <v>3.02</v>
      </c>
      <c r="C884" s="42">
        <f t="shared" si="13"/>
        <v>866</v>
      </c>
    </row>
    <row r="885" spans="1:3" x14ac:dyDescent="0.25">
      <c r="A885" s="198">
        <v>42229</v>
      </c>
      <c r="B885" s="241">
        <v>3.01</v>
      </c>
      <c r="C885" s="42">
        <f t="shared" si="13"/>
        <v>867</v>
      </c>
    </row>
    <row r="886" spans="1:3" x14ac:dyDescent="0.25">
      <c r="A886" s="198">
        <v>42236</v>
      </c>
      <c r="B886" s="241">
        <v>3.02</v>
      </c>
      <c r="C886" s="42">
        <f t="shared" si="13"/>
        <v>868</v>
      </c>
    </row>
    <row r="887" spans="1:3" x14ac:dyDescent="0.25">
      <c r="A887" s="198">
        <v>42243</v>
      </c>
      <c r="B887" s="241">
        <v>3.12</v>
      </c>
      <c r="C887" s="42">
        <f t="shared" si="13"/>
        <v>869</v>
      </c>
    </row>
    <row r="888" spans="1:3" x14ac:dyDescent="0.25">
      <c r="A888" s="198">
        <v>42250</v>
      </c>
      <c r="B888" s="241">
        <v>3.09</v>
      </c>
      <c r="C888" s="42">
        <f t="shared" si="13"/>
        <v>870</v>
      </c>
    </row>
    <row r="889" spans="1:3" x14ac:dyDescent="0.25">
      <c r="A889" s="198">
        <v>42257</v>
      </c>
      <c r="B889" s="241">
        <v>3.11</v>
      </c>
      <c r="C889" s="42">
        <f t="shared" si="13"/>
        <v>871</v>
      </c>
    </row>
    <row r="890" spans="1:3" x14ac:dyDescent="0.25">
      <c r="A890" s="198">
        <v>42264</v>
      </c>
      <c r="B890" s="241">
        <v>3.18</v>
      </c>
      <c r="C890" s="42">
        <f t="shared" si="13"/>
        <v>872</v>
      </c>
    </row>
    <row r="891" spans="1:3" x14ac:dyDescent="0.25">
      <c r="A891" s="198">
        <v>42271</v>
      </c>
      <c r="B891" s="241">
        <v>3.02</v>
      </c>
      <c r="C891" s="42">
        <f t="shared" si="13"/>
        <v>873</v>
      </c>
    </row>
    <row r="892" spans="1:3" x14ac:dyDescent="0.25">
      <c r="A892" s="198">
        <v>42278</v>
      </c>
      <c r="B892" s="241">
        <v>3.02</v>
      </c>
      <c r="C892" s="42">
        <f t="shared" si="13"/>
        <v>874</v>
      </c>
    </row>
    <row r="893" spans="1:3" x14ac:dyDescent="0.25">
      <c r="A893" s="198">
        <v>42285</v>
      </c>
      <c r="B893" s="241">
        <v>2.98</v>
      </c>
      <c r="C893" s="42">
        <f t="shared" si="13"/>
        <v>875</v>
      </c>
    </row>
    <row r="894" spans="1:3" x14ac:dyDescent="0.25">
      <c r="A894" s="198">
        <v>42292</v>
      </c>
      <c r="B894" s="241">
        <v>3</v>
      </c>
      <c r="C894" s="42">
        <f t="shared" si="13"/>
        <v>876</v>
      </c>
    </row>
    <row r="895" spans="1:3" x14ac:dyDescent="0.25">
      <c r="A895" s="198">
        <v>42299</v>
      </c>
      <c r="B895" s="241">
        <v>3.04</v>
      </c>
      <c r="C895" s="42">
        <f t="shared" si="13"/>
        <v>877</v>
      </c>
    </row>
    <row r="896" spans="1:3" x14ac:dyDescent="0.25">
      <c r="A896" s="198">
        <v>42306</v>
      </c>
      <c r="B896" s="241">
        <v>3.05</v>
      </c>
      <c r="C896" s="42">
        <f t="shared" si="13"/>
        <v>878</v>
      </c>
    </row>
    <row r="897" spans="1:3" x14ac:dyDescent="0.25">
      <c r="A897" s="198">
        <v>42313</v>
      </c>
      <c r="B897" s="241">
        <v>3.03</v>
      </c>
      <c r="C897" s="42">
        <f t="shared" si="13"/>
        <v>879</v>
      </c>
    </row>
    <row r="898" spans="1:3" x14ac:dyDescent="0.25">
      <c r="A898" s="198">
        <v>42320</v>
      </c>
      <c r="B898" s="241">
        <v>3</v>
      </c>
      <c r="C898" s="42">
        <f t="shared" si="13"/>
        <v>880</v>
      </c>
    </row>
    <row r="899" spans="1:3" x14ac:dyDescent="0.25">
      <c r="A899" s="198">
        <v>42327</v>
      </c>
      <c r="B899" s="241">
        <v>3</v>
      </c>
      <c r="C899" s="42">
        <f t="shared" si="13"/>
        <v>881</v>
      </c>
    </row>
    <row r="900" spans="1:3" x14ac:dyDescent="0.25">
      <c r="A900" s="198">
        <v>42334</v>
      </c>
      <c r="B900" s="241">
        <v>3.03</v>
      </c>
      <c r="C900" s="42">
        <f t="shared" si="13"/>
        <v>882</v>
      </c>
    </row>
    <row r="901" spans="1:3" x14ac:dyDescent="0.25">
      <c r="A901" s="198">
        <v>42341</v>
      </c>
      <c r="B901" s="241">
        <v>3.11</v>
      </c>
      <c r="C901" s="42">
        <f t="shared" si="13"/>
        <v>883</v>
      </c>
    </row>
    <row r="902" spans="1:3" x14ac:dyDescent="0.25">
      <c r="A902" s="198">
        <v>42348</v>
      </c>
      <c r="B902" s="241">
        <v>3.2</v>
      </c>
      <c r="C902" s="42">
        <f t="shared" si="13"/>
        <v>884</v>
      </c>
    </row>
    <row r="903" spans="1:3" x14ac:dyDescent="0.25">
      <c r="A903" s="198">
        <v>42355</v>
      </c>
      <c r="B903" s="241">
        <v>3.2</v>
      </c>
      <c r="C903" s="42">
        <f t="shared" si="13"/>
        <v>885</v>
      </c>
    </row>
    <row r="904" spans="1:3" x14ac:dyDescent="0.25">
      <c r="A904" s="198">
        <v>42362</v>
      </c>
      <c r="B904" s="241">
        <v>3.15</v>
      </c>
      <c r="C904" s="42">
        <f t="shared" si="13"/>
        <v>886</v>
      </c>
    </row>
    <row r="905" spans="1:3" x14ac:dyDescent="0.25">
      <c r="A905" s="198">
        <v>42369</v>
      </c>
      <c r="B905" s="241">
        <v>3.05</v>
      </c>
      <c r="C905" s="42">
        <f t="shared" si="13"/>
        <v>887</v>
      </c>
    </row>
    <row r="906" spans="1:3" x14ac:dyDescent="0.25">
      <c r="A906" s="198">
        <v>42376</v>
      </c>
      <c r="B906" s="241">
        <v>3.05</v>
      </c>
      <c r="C906" s="42">
        <f t="shared" si="13"/>
        <v>888</v>
      </c>
    </row>
    <row r="907" spans="1:3" x14ac:dyDescent="0.25">
      <c r="A907" s="198">
        <v>42383</v>
      </c>
      <c r="B907" s="241">
        <v>3.05</v>
      </c>
      <c r="C907" s="42">
        <f t="shared" si="13"/>
        <v>889</v>
      </c>
    </row>
    <row r="908" spans="1:3" x14ac:dyDescent="0.25">
      <c r="A908" s="198">
        <v>42390</v>
      </c>
      <c r="B908" s="241">
        <v>3.09</v>
      </c>
      <c r="C908" s="42">
        <f t="shared" si="13"/>
        <v>890</v>
      </c>
    </row>
    <row r="909" spans="1:3" x14ac:dyDescent="0.25">
      <c r="A909" s="198">
        <v>42397</v>
      </c>
      <c r="B909" s="241">
        <v>3.14</v>
      </c>
      <c r="C909" s="42">
        <f t="shared" si="13"/>
        <v>891</v>
      </c>
    </row>
    <row r="910" spans="1:3" x14ac:dyDescent="0.25">
      <c r="A910" s="198">
        <v>42404</v>
      </c>
      <c r="B910" s="241">
        <v>3.16</v>
      </c>
      <c r="C910" s="42">
        <f t="shared" si="13"/>
        <v>892</v>
      </c>
    </row>
    <row r="911" spans="1:3" x14ac:dyDescent="0.25">
      <c r="A911" s="198">
        <v>42411</v>
      </c>
      <c r="B911" s="241">
        <v>3.2</v>
      </c>
      <c r="C911" s="42">
        <f t="shared" si="13"/>
        <v>893</v>
      </c>
    </row>
    <row r="912" spans="1:3" x14ac:dyDescent="0.25">
      <c r="A912" s="198">
        <v>42418</v>
      </c>
      <c r="B912" s="241">
        <v>3.23</v>
      </c>
      <c r="C912" s="42">
        <f t="shared" si="13"/>
        <v>894</v>
      </c>
    </row>
    <row r="913" spans="1:3" x14ac:dyDescent="0.25">
      <c r="A913" s="198">
        <v>42425</v>
      </c>
      <c r="B913" s="241">
        <v>3.85</v>
      </c>
      <c r="C913" s="42">
        <f t="shared" si="13"/>
        <v>895</v>
      </c>
    </row>
    <row r="914" spans="1:3" x14ac:dyDescent="0.25">
      <c r="A914" s="198">
        <v>42432</v>
      </c>
      <c r="B914" s="241">
        <v>3.88</v>
      </c>
      <c r="C914" s="42">
        <f t="shared" si="13"/>
        <v>896</v>
      </c>
    </row>
    <row r="915" spans="1:3" x14ac:dyDescent="0.25">
      <c r="A915" s="198">
        <v>42439</v>
      </c>
      <c r="B915" s="241">
        <v>3.78</v>
      </c>
      <c r="C915" s="42">
        <f t="shared" si="13"/>
        <v>897</v>
      </c>
    </row>
    <row r="916" spans="1:3" x14ac:dyDescent="0.25">
      <c r="A916" s="198">
        <v>42446</v>
      </c>
      <c r="B916" s="241">
        <v>3.8</v>
      </c>
      <c r="C916" s="42">
        <f t="shared" si="13"/>
        <v>898</v>
      </c>
    </row>
    <row r="917" spans="1:3" x14ac:dyDescent="0.25">
      <c r="A917" s="198">
        <v>42452</v>
      </c>
      <c r="B917" s="241">
        <v>3.78</v>
      </c>
      <c r="C917" s="42">
        <f t="shared" ref="C917:C980" si="14">+C916+1</f>
        <v>899</v>
      </c>
    </row>
    <row r="918" spans="1:3" x14ac:dyDescent="0.25">
      <c r="A918" s="198">
        <v>42460</v>
      </c>
      <c r="B918" s="241">
        <v>3.76</v>
      </c>
      <c r="C918" s="42">
        <f t="shared" si="14"/>
        <v>900</v>
      </c>
    </row>
    <row r="919" spans="1:3" x14ac:dyDescent="0.25">
      <c r="A919" s="198">
        <v>42467</v>
      </c>
      <c r="B919" s="241">
        <v>3.73</v>
      </c>
      <c r="C919" s="42">
        <f t="shared" si="14"/>
        <v>901</v>
      </c>
    </row>
    <row r="920" spans="1:3" x14ac:dyDescent="0.25">
      <c r="A920" s="198">
        <v>42474</v>
      </c>
      <c r="B920" s="241">
        <v>3.74</v>
      </c>
      <c r="C920" s="42">
        <f t="shared" si="14"/>
        <v>902</v>
      </c>
    </row>
    <row r="921" spans="1:3" x14ac:dyDescent="0.25">
      <c r="A921" s="198">
        <v>42481</v>
      </c>
      <c r="B921" s="241">
        <v>3.74</v>
      </c>
      <c r="C921" s="42">
        <f t="shared" si="14"/>
        <v>903</v>
      </c>
    </row>
    <row r="922" spans="1:3" x14ac:dyDescent="0.25">
      <c r="A922" s="198">
        <v>42488</v>
      </c>
      <c r="B922" s="241">
        <v>3.76</v>
      </c>
      <c r="C922" s="42">
        <f t="shared" si="14"/>
        <v>904</v>
      </c>
    </row>
    <row r="923" spans="1:3" x14ac:dyDescent="0.25">
      <c r="A923" s="198">
        <v>42495</v>
      </c>
      <c r="B923" s="241">
        <v>3.77</v>
      </c>
      <c r="C923" s="42">
        <f t="shared" si="14"/>
        <v>905</v>
      </c>
    </row>
    <row r="924" spans="1:3" x14ac:dyDescent="0.25">
      <c r="A924" s="198">
        <v>42502</v>
      </c>
      <c r="B924" s="241">
        <v>3.77</v>
      </c>
      <c r="C924" s="42">
        <f t="shared" si="14"/>
        <v>906</v>
      </c>
    </row>
    <row r="925" spans="1:3" x14ac:dyDescent="0.25">
      <c r="A925" s="198">
        <v>42509</v>
      </c>
      <c r="B925" s="241">
        <v>3.81</v>
      </c>
      <c r="C925" s="42">
        <f t="shared" si="14"/>
        <v>907</v>
      </c>
    </row>
    <row r="926" spans="1:3" x14ac:dyDescent="0.25">
      <c r="A926" s="198">
        <v>42516</v>
      </c>
      <c r="B926" s="241">
        <v>3.9</v>
      </c>
      <c r="C926" s="42">
        <f t="shared" si="14"/>
        <v>908</v>
      </c>
    </row>
    <row r="927" spans="1:3" x14ac:dyDescent="0.25">
      <c r="A927" s="198">
        <v>42523</v>
      </c>
      <c r="B927" s="241">
        <v>3.8</v>
      </c>
      <c r="C927" s="42">
        <f t="shared" si="14"/>
        <v>909</v>
      </c>
    </row>
    <row r="928" spans="1:3" x14ac:dyDescent="0.25">
      <c r="A928" s="198">
        <v>42530</v>
      </c>
      <c r="B928" s="241">
        <v>3.78</v>
      </c>
      <c r="C928" s="42">
        <f t="shared" si="14"/>
        <v>910</v>
      </c>
    </row>
    <row r="929" spans="1:3" x14ac:dyDescent="0.25">
      <c r="A929" s="198">
        <v>42537</v>
      </c>
      <c r="B929" s="241">
        <v>3.83</v>
      </c>
      <c r="C929" s="42">
        <f t="shared" si="14"/>
        <v>911</v>
      </c>
    </row>
    <row r="930" spans="1:3" x14ac:dyDescent="0.25">
      <c r="A930" s="198">
        <v>42544</v>
      </c>
      <c r="B930" s="241">
        <v>3.76</v>
      </c>
      <c r="C930" s="42">
        <f t="shared" si="14"/>
        <v>912</v>
      </c>
    </row>
    <row r="931" spans="1:3" x14ac:dyDescent="0.25">
      <c r="A931" s="198">
        <v>42551</v>
      </c>
      <c r="B931" s="241">
        <v>3.86</v>
      </c>
      <c r="C931" s="42">
        <f t="shared" si="14"/>
        <v>913</v>
      </c>
    </row>
    <row r="932" spans="1:3" x14ac:dyDescent="0.25">
      <c r="A932" s="198">
        <v>42558</v>
      </c>
      <c r="B932" s="241">
        <v>4.2300000000000004</v>
      </c>
      <c r="C932" s="42">
        <f t="shared" si="14"/>
        <v>914</v>
      </c>
    </row>
    <row r="933" spans="1:3" x14ac:dyDescent="0.25">
      <c r="A933" s="198">
        <v>42565</v>
      </c>
      <c r="B933" s="241">
        <v>4.1900000000000004</v>
      </c>
      <c r="C933" s="42">
        <f t="shared" si="14"/>
        <v>915</v>
      </c>
    </row>
    <row r="934" spans="1:3" x14ac:dyDescent="0.25">
      <c r="A934" s="198">
        <v>42572</v>
      </c>
      <c r="B934" s="241">
        <v>4.21</v>
      </c>
      <c r="C934" s="42">
        <f t="shared" si="14"/>
        <v>916</v>
      </c>
    </row>
    <row r="935" spans="1:3" x14ac:dyDescent="0.25">
      <c r="A935" s="198">
        <v>42579</v>
      </c>
      <c r="B935" s="241">
        <v>4.21</v>
      </c>
      <c r="C935" s="42">
        <f t="shared" si="14"/>
        <v>917</v>
      </c>
    </row>
    <row r="936" spans="1:3" x14ac:dyDescent="0.25">
      <c r="A936" s="198">
        <v>42586</v>
      </c>
      <c r="B936" s="241">
        <v>4.22</v>
      </c>
      <c r="C936" s="42">
        <f t="shared" si="14"/>
        <v>918</v>
      </c>
    </row>
    <row r="937" spans="1:3" x14ac:dyDescent="0.25">
      <c r="A937" s="198">
        <v>42593</v>
      </c>
      <c r="B937" s="241">
        <v>4.22</v>
      </c>
      <c r="C937" s="42">
        <f t="shared" si="14"/>
        <v>919</v>
      </c>
    </row>
    <row r="938" spans="1:3" x14ac:dyDescent="0.25">
      <c r="A938" s="198">
        <v>42600</v>
      </c>
      <c r="B938" s="241">
        <v>4.2699999999999996</v>
      </c>
      <c r="C938" s="42">
        <f t="shared" si="14"/>
        <v>920</v>
      </c>
    </row>
    <row r="939" spans="1:3" x14ac:dyDescent="0.25">
      <c r="A939" s="198">
        <v>42607</v>
      </c>
      <c r="B939" s="241">
        <v>4.2300000000000004</v>
      </c>
      <c r="C939" s="42">
        <f t="shared" si="14"/>
        <v>921</v>
      </c>
    </row>
    <row r="940" spans="1:3" x14ac:dyDescent="0.25">
      <c r="A940" s="198">
        <v>42614</v>
      </c>
      <c r="B940" s="241">
        <v>4.29</v>
      </c>
      <c r="C940" s="42">
        <f t="shared" si="14"/>
        <v>922</v>
      </c>
    </row>
    <row r="941" spans="1:3" x14ac:dyDescent="0.25">
      <c r="A941" s="198">
        <v>42621</v>
      </c>
      <c r="B941" s="241">
        <v>4.2300000000000004</v>
      </c>
      <c r="C941" s="42">
        <f t="shared" si="14"/>
        <v>923</v>
      </c>
    </row>
    <row r="942" spans="1:3" x14ac:dyDescent="0.25">
      <c r="A942" s="198">
        <v>42628</v>
      </c>
      <c r="B942" s="241">
        <v>4.22</v>
      </c>
      <c r="C942" s="42">
        <f t="shared" si="14"/>
        <v>924</v>
      </c>
    </row>
    <row r="943" spans="1:3" x14ac:dyDescent="0.25">
      <c r="A943" s="198">
        <v>42635</v>
      </c>
      <c r="B943" s="241">
        <v>4.2699999999999996</v>
      </c>
      <c r="C943" s="42">
        <f t="shared" si="14"/>
        <v>925</v>
      </c>
    </row>
    <row r="944" spans="1:3" x14ac:dyDescent="0.25">
      <c r="A944" s="198">
        <v>42642</v>
      </c>
      <c r="B944" s="241">
        <v>4.41</v>
      </c>
      <c r="C944" s="42">
        <f t="shared" si="14"/>
        <v>926</v>
      </c>
    </row>
    <row r="945" spans="1:3" x14ac:dyDescent="0.25">
      <c r="A945" s="198">
        <v>42649</v>
      </c>
      <c r="B945" s="241">
        <v>4.7</v>
      </c>
      <c r="C945" s="42">
        <f t="shared" si="14"/>
        <v>927</v>
      </c>
    </row>
    <row r="946" spans="1:3" x14ac:dyDescent="0.25">
      <c r="A946" s="198">
        <v>42656</v>
      </c>
      <c r="B946" s="241">
        <v>4.7</v>
      </c>
      <c r="C946" s="42">
        <f t="shared" si="14"/>
        <v>928</v>
      </c>
    </row>
    <row r="947" spans="1:3" x14ac:dyDescent="0.25">
      <c r="A947" s="198">
        <v>42663</v>
      </c>
      <c r="B947" s="241">
        <v>4.67</v>
      </c>
      <c r="C947" s="42">
        <f t="shared" si="14"/>
        <v>929</v>
      </c>
    </row>
    <row r="948" spans="1:3" x14ac:dyDescent="0.25">
      <c r="A948" s="198">
        <v>42670</v>
      </c>
      <c r="B948" s="241">
        <v>4.68</v>
      </c>
      <c r="C948" s="42">
        <f t="shared" si="14"/>
        <v>930</v>
      </c>
    </row>
    <row r="949" spans="1:3" x14ac:dyDescent="0.25">
      <c r="A949" s="198">
        <v>42677</v>
      </c>
      <c r="B949" s="241">
        <v>4.75</v>
      </c>
      <c r="C949" s="42">
        <f t="shared" si="14"/>
        <v>931</v>
      </c>
    </row>
    <row r="950" spans="1:3" x14ac:dyDescent="0.25">
      <c r="A950" s="198">
        <v>42684</v>
      </c>
      <c r="B950" s="241">
        <v>4.8099999999999996</v>
      </c>
      <c r="C950" s="42">
        <f t="shared" si="14"/>
        <v>932</v>
      </c>
    </row>
    <row r="951" spans="1:3" x14ac:dyDescent="0.25">
      <c r="A951" s="198">
        <v>42691</v>
      </c>
      <c r="B951" s="241">
        <v>5.56</v>
      </c>
      <c r="C951" s="42">
        <f t="shared" si="14"/>
        <v>933</v>
      </c>
    </row>
    <row r="952" spans="1:3" x14ac:dyDescent="0.25">
      <c r="A952" s="198">
        <v>42698</v>
      </c>
      <c r="B952" s="241">
        <v>5.48</v>
      </c>
      <c r="C952" s="42">
        <f t="shared" si="14"/>
        <v>934</v>
      </c>
    </row>
    <row r="953" spans="1:3" x14ac:dyDescent="0.25">
      <c r="A953" s="198">
        <v>42705</v>
      </c>
      <c r="B953" s="241">
        <v>5.62</v>
      </c>
      <c r="C953" s="42">
        <f t="shared" si="14"/>
        <v>935</v>
      </c>
    </row>
    <row r="954" spans="1:3" x14ac:dyDescent="0.25">
      <c r="A954" s="198">
        <v>42712</v>
      </c>
      <c r="B954" s="241">
        <v>5.59</v>
      </c>
      <c r="C954" s="42">
        <f t="shared" si="14"/>
        <v>936</v>
      </c>
    </row>
    <row r="955" spans="1:3" x14ac:dyDescent="0.25">
      <c r="A955" s="198">
        <v>42719</v>
      </c>
      <c r="B955" s="241">
        <v>5.51</v>
      </c>
      <c r="C955" s="42">
        <f t="shared" si="14"/>
        <v>937</v>
      </c>
    </row>
    <row r="956" spans="1:3" x14ac:dyDescent="0.25">
      <c r="A956" s="198">
        <v>42726</v>
      </c>
      <c r="B956" s="241">
        <v>5.65</v>
      </c>
      <c r="C956" s="42">
        <f t="shared" si="14"/>
        <v>938</v>
      </c>
    </row>
    <row r="957" spans="1:3" x14ac:dyDescent="0.25">
      <c r="A957" s="198">
        <v>42733</v>
      </c>
      <c r="B957" s="241">
        <v>5.69</v>
      </c>
      <c r="C957" s="42">
        <f t="shared" si="14"/>
        <v>939</v>
      </c>
    </row>
    <row r="958" spans="1:3" x14ac:dyDescent="0.25">
      <c r="A958" s="198">
        <v>42740</v>
      </c>
      <c r="B958" s="241">
        <v>5.82</v>
      </c>
      <c r="C958" s="42">
        <f t="shared" si="14"/>
        <v>940</v>
      </c>
    </row>
    <row r="959" spans="1:3" x14ac:dyDescent="0.25">
      <c r="A959" s="198">
        <v>42747</v>
      </c>
      <c r="B959" s="241">
        <v>5.87</v>
      </c>
      <c r="C959" s="42">
        <f t="shared" si="14"/>
        <v>941</v>
      </c>
    </row>
    <row r="960" spans="1:3" x14ac:dyDescent="0.25">
      <c r="A960" s="198">
        <v>42754</v>
      </c>
      <c r="B960" s="241">
        <v>5.86</v>
      </c>
      <c r="C960" s="42">
        <f t="shared" si="14"/>
        <v>942</v>
      </c>
    </row>
    <row r="961" spans="1:3" x14ac:dyDescent="0.25">
      <c r="A961" s="198">
        <v>42761</v>
      </c>
      <c r="B961" s="241">
        <v>5.77</v>
      </c>
      <c r="C961" s="42">
        <f t="shared" si="14"/>
        <v>943</v>
      </c>
    </row>
    <row r="962" spans="1:3" x14ac:dyDescent="0.25">
      <c r="A962" s="198">
        <v>42768</v>
      </c>
      <c r="B962" s="241">
        <v>5.88</v>
      </c>
      <c r="C962" s="42">
        <f t="shared" si="14"/>
        <v>944</v>
      </c>
    </row>
    <row r="963" spans="1:3" x14ac:dyDescent="0.25">
      <c r="A963" s="198">
        <v>42775</v>
      </c>
      <c r="B963" s="241">
        <v>5.9</v>
      </c>
      <c r="C963" s="42">
        <f t="shared" si="14"/>
        <v>945</v>
      </c>
    </row>
    <row r="964" spans="1:3" x14ac:dyDescent="0.25">
      <c r="A964" s="198">
        <v>42782</v>
      </c>
      <c r="B964" s="241">
        <v>6.21</v>
      </c>
      <c r="C964" s="42">
        <f t="shared" si="14"/>
        <v>946</v>
      </c>
    </row>
    <row r="965" spans="1:3" x14ac:dyDescent="0.25">
      <c r="A965" s="198">
        <v>42789</v>
      </c>
      <c r="B965" s="241">
        <v>6.24</v>
      </c>
      <c r="C965" s="42">
        <f t="shared" si="14"/>
        <v>947</v>
      </c>
    </row>
    <row r="966" spans="1:3" x14ac:dyDescent="0.25">
      <c r="A966" s="198">
        <v>42796</v>
      </c>
      <c r="B966" s="241">
        <v>6.25</v>
      </c>
      <c r="C966" s="42">
        <f t="shared" si="14"/>
        <v>948</v>
      </c>
    </row>
    <row r="967" spans="1:3" x14ac:dyDescent="0.25">
      <c r="A967" s="198">
        <v>42803</v>
      </c>
      <c r="B967" s="241">
        <v>6.29</v>
      </c>
      <c r="C967" s="42">
        <f t="shared" si="14"/>
        <v>949</v>
      </c>
    </row>
    <row r="968" spans="1:3" x14ac:dyDescent="0.25">
      <c r="A968" s="198">
        <v>42810</v>
      </c>
      <c r="B968" s="241">
        <v>6.3</v>
      </c>
      <c r="C968" s="42">
        <f t="shared" si="14"/>
        <v>950</v>
      </c>
    </row>
    <row r="969" spans="1:3" x14ac:dyDescent="0.25">
      <c r="A969" s="198">
        <v>42817</v>
      </c>
      <c r="B969" s="241">
        <v>6.32</v>
      </c>
      <c r="C969" s="42">
        <f t="shared" si="14"/>
        <v>951</v>
      </c>
    </row>
    <row r="970" spans="1:3" x14ac:dyDescent="0.25">
      <c r="A970" s="198">
        <v>42824</v>
      </c>
      <c r="B970" s="241">
        <v>6.43</v>
      </c>
      <c r="C970" s="42">
        <f t="shared" si="14"/>
        <v>952</v>
      </c>
    </row>
    <row r="971" spans="1:3" x14ac:dyDescent="0.25">
      <c r="A971" s="198">
        <v>42831</v>
      </c>
      <c r="B971" s="241">
        <v>6.48</v>
      </c>
      <c r="C971" s="42">
        <f t="shared" si="14"/>
        <v>953</v>
      </c>
    </row>
    <row r="972" spans="1:3" x14ac:dyDescent="0.25">
      <c r="A972" s="198">
        <v>42837</v>
      </c>
      <c r="B972" s="241">
        <v>6.54</v>
      </c>
      <c r="C972" s="42">
        <f t="shared" si="14"/>
        <v>954</v>
      </c>
    </row>
    <row r="973" spans="1:3" x14ac:dyDescent="0.25">
      <c r="A973" s="198">
        <v>42845</v>
      </c>
      <c r="B973" s="241">
        <v>6.47</v>
      </c>
      <c r="C973" s="42">
        <f t="shared" si="14"/>
        <v>955</v>
      </c>
    </row>
    <row r="974" spans="1:3" x14ac:dyDescent="0.25">
      <c r="A974" s="198">
        <v>42852</v>
      </c>
      <c r="B974" s="241">
        <v>6.5</v>
      </c>
      <c r="C974" s="42">
        <f t="shared" si="14"/>
        <v>956</v>
      </c>
    </row>
    <row r="975" spans="1:3" x14ac:dyDescent="0.25">
      <c r="A975" s="198">
        <v>42859</v>
      </c>
      <c r="B975" s="241">
        <v>6.5</v>
      </c>
      <c r="C975" s="42">
        <f t="shared" si="14"/>
        <v>957</v>
      </c>
    </row>
    <row r="976" spans="1:3" x14ac:dyDescent="0.25">
      <c r="A976" s="198">
        <v>42866</v>
      </c>
      <c r="B976" s="241">
        <v>6.49</v>
      </c>
      <c r="C976" s="42">
        <f t="shared" si="14"/>
        <v>958</v>
      </c>
    </row>
    <row r="977" spans="1:3" x14ac:dyDescent="0.25">
      <c r="A977" s="198">
        <v>42873</v>
      </c>
      <c r="B977" s="241">
        <v>6.53</v>
      </c>
      <c r="C977" s="42">
        <f t="shared" si="14"/>
        <v>959</v>
      </c>
    </row>
    <row r="978" spans="1:3" x14ac:dyDescent="0.25">
      <c r="A978" s="198">
        <v>42880</v>
      </c>
      <c r="B978" s="241">
        <v>6.71</v>
      </c>
      <c r="C978" s="42">
        <f t="shared" si="14"/>
        <v>960</v>
      </c>
    </row>
    <row r="979" spans="1:3" x14ac:dyDescent="0.25">
      <c r="A979" s="198">
        <v>42887</v>
      </c>
      <c r="B979" s="241">
        <v>6.72</v>
      </c>
      <c r="C979" s="42">
        <f t="shared" si="14"/>
        <v>961</v>
      </c>
    </row>
    <row r="980" spans="1:3" x14ac:dyDescent="0.25">
      <c r="A980" s="198">
        <v>42894</v>
      </c>
      <c r="B980" s="241">
        <v>6.74</v>
      </c>
      <c r="C980" s="42">
        <f t="shared" si="14"/>
        <v>962</v>
      </c>
    </row>
    <row r="981" spans="1:3" x14ac:dyDescent="0.25">
      <c r="A981" s="198">
        <v>42901</v>
      </c>
      <c r="B981" s="241">
        <v>6.79</v>
      </c>
      <c r="C981" s="42">
        <f t="shared" ref="C981:C1044" si="15">+C980+1</f>
        <v>963</v>
      </c>
    </row>
    <row r="982" spans="1:3" x14ac:dyDescent="0.25">
      <c r="A982" s="198">
        <v>42908</v>
      </c>
      <c r="B982" s="241">
        <v>6.87</v>
      </c>
      <c r="C982" s="42">
        <f t="shared" si="15"/>
        <v>964</v>
      </c>
    </row>
    <row r="983" spans="1:3" x14ac:dyDescent="0.25">
      <c r="A983" s="198">
        <v>42915</v>
      </c>
      <c r="B983" s="241">
        <v>6.96</v>
      </c>
      <c r="C983" s="42">
        <f t="shared" si="15"/>
        <v>965</v>
      </c>
    </row>
    <row r="984" spans="1:3" x14ac:dyDescent="0.25">
      <c r="A984" s="198">
        <v>42922</v>
      </c>
      <c r="B984" s="241">
        <v>7</v>
      </c>
      <c r="C984" s="42">
        <f t="shared" si="15"/>
        <v>966</v>
      </c>
    </row>
    <row r="985" spans="1:3" x14ac:dyDescent="0.25">
      <c r="A985" s="198">
        <v>42929</v>
      </c>
      <c r="B985" s="241">
        <v>6.98</v>
      </c>
      <c r="C985" s="42">
        <f t="shared" si="15"/>
        <v>967</v>
      </c>
    </row>
    <row r="986" spans="1:3" x14ac:dyDescent="0.25">
      <c r="A986" s="198">
        <v>42936</v>
      </c>
      <c r="B986" s="241">
        <v>6.99</v>
      </c>
      <c r="C986" s="42">
        <f t="shared" si="15"/>
        <v>968</v>
      </c>
    </row>
    <row r="987" spans="1:3" x14ac:dyDescent="0.25">
      <c r="A987" s="198">
        <v>42943</v>
      </c>
      <c r="B987" s="241">
        <v>6.99</v>
      </c>
      <c r="C987" s="42">
        <f t="shared" si="15"/>
        <v>969</v>
      </c>
    </row>
    <row r="988" spans="1:3" x14ac:dyDescent="0.25">
      <c r="A988" s="198">
        <v>42950</v>
      </c>
      <c r="B988" s="241">
        <v>6.99</v>
      </c>
      <c r="C988" s="42">
        <f t="shared" si="15"/>
        <v>970</v>
      </c>
    </row>
    <row r="989" spans="1:3" x14ac:dyDescent="0.25">
      <c r="A989" s="198">
        <v>42957</v>
      </c>
      <c r="B989" s="241">
        <v>6.96</v>
      </c>
      <c r="C989" s="42">
        <f t="shared" si="15"/>
        <v>971</v>
      </c>
    </row>
    <row r="990" spans="1:3" x14ac:dyDescent="0.25">
      <c r="A990" s="198">
        <v>42964</v>
      </c>
      <c r="B990" s="241">
        <v>6.91</v>
      </c>
      <c r="C990" s="42">
        <f t="shared" si="15"/>
        <v>972</v>
      </c>
    </row>
    <row r="991" spans="1:3" x14ac:dyDescent="0.25">
      <c r="A991" s="198">
        <v>42971</v>
      </c>
      <c r="B991" s="241">
        <v>6.92</v>
      </c>
      <c r="C991" s="42">
        <f t="shared" si="15"/>
        <v>973</v>
      </c>
    </row>
    <row r="992" spans="1:3" x14ac:dyDescent="0.25">
      <c r="A992" s="198">
        <v>42978</v>
      </c>
      <c r="B992" s="241">
        <v>6.91</v>
      </c>
      <c r="C992" s="42">
        <f t="shared" si="15"/>
        <v>974</v>
      </c>
    </row>
    <row r="993" spans="1:3" x14ac:dyDescent="0.25">
      <c r="A993" s="198">
        <v>42985</v>
      </c>
      <c r="B993" s="241">
        <v>6.98</v>
      </c>
      <c r="C993" s="42">
        <f t="shared" si="15"/>
        <v>975</v>
      </c>
    </row>
    <row r="994" spans="1:3" x14ac:dyDescent="0.25">
      <c r="A994" s="198">
        <v>42992</v>
      </c>
      <c r="B994" s="241">
        <v>6.98</v>
      </c>
      <c r="C994" s="42">
        <f t="shared" si="15"/>
        <v>976</v>
      </c>
    </row>
    <row r="995" spans="1:3" x14ac:dyDescent="0.25">
      <c r="A995" s="198">
        <v>42999</v>
      </c>
      <c r="B995" s="241">
        <v>6.98</v>
      </c>
      <c r="C995" s="42">
        <f t="shared" si="15"/>
        <v>977</v>
      </c>
    </row>
    <row r="996" spans="1:3" x14ac:dyDescent="0.25">
      <c r="A996" s="198">
        <v>43006</v>
      </c>
      <c r="B996" s="241">
        <v>7</v>
      </c>
      <c r="C996" s="42">
        <f t="shared" si="15"/>
        <v>978</v>
      </c>
    </row>
    <row r="997" spans="1:3" x14ac:dyDescent="0.25">
      <c r="A997" s="198">
        <v>43013</v>
      </c>
      <c r="B997" s="241">
        <v>7.03</v>
      </c>
      <c r="C997" s="42">
        <f t="shared" si="15"/>
        <v>979</v>
      </c>
    </row>
    <row r="998" spans="1:3" x14ac:dyDescent="0.25">
      <c r="A998" s="198">
        <v>43020</v>
      </c>
      <c r="B998" s="241">
        <v>7.03</v>
      </c>
      <c r="C998" s="42">
        <f t="shared" si="15"/>
        <v>980</v>
      </c>
    </row>
    <row r="999" spans="1:3" x14ac:dyDescent="0.25">
      <c r="A999" s="198">
        <v>43027</v>
      </c>
      <c r="B999" s="241">
        <v>7.04</v>
      </c>
      <c r="C999" s="42">
        <f t="shared" si="15"/>
        <v>981</v>
      </c>
    </row>
    <row r="1000" spans="1:3" x14ac:dyDescent="0.25">
      <c r="A1000" s="198">
        <v>43034</v>
      </c>
      <c r="B1000" s="241">
        <v>7.02</v>
      </c>
      <c r="C1000" s="42">
        <f t="shared" si="15"/>
        <v>982</v>
      </c>
    </row>
    <row r="1001" spans="1:3" x14ac:dyDescent="0.25">
      <c r="A1001" s="198">
        <v>43040</v>
      </c>
      <c r="B1001" s="241">
        <v>7.03</v>
      </c>
      <c r="C1001" s="42">
        <f t="shared" si="15"/>
        <v>983</v>
      </c>
    </row>
    <row r="1002" spans="1:3" x14ac:dyDescent="0.25">
      <c r="A1002" s="198">
        <v>43048</v>
      </c>
      <c r="B1002" s="241">
        <v>7.02</v>
      </c>
      <c r="C1002" s="42">
        <f t="shared" si="15"/>
        <v>984</v>
      </c>
    </row>
    <row r="1003" spans="1:3" x14ac:dyDescent="0.25">
      <c r="A1003" s="198">
        <v>43055</v>
      </c>
      <c r="B1003" s="241">
        <v>7.01</v>
      </c>
      <c r="C1003" s="42">
        <f t="shared" si="15"/>
        <v>985</v>
      </c>
    </row>
    <row r="1004" spans="1:3" x14ac:dyDescent="0.25">
      <c r="A1004" s="198">
        <v>43062</v>
      </c>
      <c r="B1004" s="241">
        <v>7.02</v>
      </c>
      <c r="C1004" s="42">
        <f t="shared" si="15"/>
        <v>986</v>
      </c>
    </row>
    <row r="1005" spans="1:3" x14ac:dyDescent="0.25">
      <c r="A1005" s="198">
        <v>43069</v>
      </c>
      <c r="B1005" s="241">
        <v>7.01</v>
      </c>
      <c r="C1005" s="42">
        <f t="shared" si="15"/>
        <v>987</v>
      </c>
    </row>
    <row r="1006" spans="1:3" x14ac:dyDescent="0.25">
      <c r="A1006" s="198">
        <v>43076</v>
      </c>
      <c r="B1006" s="241">
        <v>7.02</v>
      </c>
      <c r="C1006" s="42">
        <f t="shared" si="15"/>
        <v>988</v>
      </c>
    </row>
    <row r="1007" spans="1:3" x14ac:dyDescent="0.25">
      <c r="A1007" s="198">
        <v>43083</v>
      </c>
      <c r="B1007" s="241">
        <v>7.19</v>
      </c>
      <c r="C1007" s="42">
        <f t="shared" si="15"/>
        <v>989</v>
      </c>
    </row>
    <row r="1008" spans="1:3" x14ac:dyDescent="0.25">
      <c r="A1008" s="198">
        <v>43090</v>
      </c>
      <c r="B1008" s="241">
        <v>7.24</v>
      </c>
      <c r="C1008" s="42">
        <f t="shared" si="15"/>
        <v>990</v>
      </c>
    </row>
    <row r="1009" spans="1:3" x14ac:dyDescent="0.25">
      <c r="A1009" s="198">
        <v>43097</v>
      </c>
      <c r="B1009" s="241">
        <v>7.22</v>
      </c>
      <c r="C1009" s="42">
        <f t="shared" si="15"/>
        <v>991</v>
      </c>
    </row>
    <row r="1010" spans="1:3" x14ac:dyDescent="0.25">
      <c r="A1010" s="198">
        <v>43104</v>
      </c>
      <c r="B1010" s="241">
        <v>7.25</v>
      </c>
      <c r="C1010" s="42">
        <f t="shared" si="15"/>
        <v>992</v>
      </c>
    </row>
    <row r="1011" spans="1:3" x14ac:dyDescent="0.25">
      <c r="A1011" s="198">
        <v>43111</v>
      </c>
      <c r="B1011" s="241">
        <v>7.24</v>
      </c>
      <c r="C1011" s="42">
        <f t="shared" si="15"/>
        <v>993</v>
      </c>
    </row>
    <row r="1012" spans="1:3" x14ac:dyDescent="0.25">
      <c r="A1012" s="198">
        <v>43118</v>
      </c>
      <c r="B1012" s="241">
        <v>7.24</v>
      </c>
      <c r="C1012" s="42">
        <f t="shared" si="15"/>
        <v>994</v>
      </c>
    </row>
    <row r="1013" spans="1:3" x14ac:dyDescent="0.25">
      <c r="A1013" s="198">
        <v>43125</v>
      </c>
      <c r="B1013" s="241">
        <v>7.25</v>
      </c>
      <c r="C1013" s="42">
        <f t="shared" si="15"/>
        <v>995</v>
      </c>
    </row>
    <row r="1014" spans="1:3" x14ac:dyDescent="0.25">
      <c r="A1014" s="198">
        <v>43132</v>
      </c>
      <c r="B1014" s="241">
        <v>7.24</v>
      </c>
      <c r="C1014" s="42">
        <f t="shared" si="15"/>
        <v>996</v>
      </c>
    </row>
    <row r="1015" spans="1:3" x14ac:dyDescent="0.25">
      <c r="A1015" s="198">
        <v>43139</v>
      </c>
      <c r="B1015" s="241">
        <v>7.35</v>
      </c>
      <c r="C1015" s="42">
        <f t="shared" si="15"/>
        <v>997</v>
      </c>
    </row>
    <row r="1016" spans="1:3" x14ac:dyDescent="0.25">
      <c r="A1016" s="198">
        <v>43146</v>
      </c>
      <c r="B1016" s="241">
        <v>7.5</v>
      </c>
      <c r="C1016" s="42">
        <f t="shared" si="15"/>
        <v>998</v>
      </c>
    </row>
    <row r="1017" spans="1:3" x14ac:dyDescent="0.25">
      <c r="A1017" s="198">
        <v>43153</v>
      </c>
      <c r="B1017" s="241">
        <v>7.49</v>
      </c>
      <c r="C1017" s="42">
        <f t="shared" si="15"/>
        <v>999</v>
      </c>
    </row>
    <row r="1018" spans="1:3" x14ac:dyDescent="0.25">
      <c r="A1018" s="198">
        <v>43160</v>
      </c>
      <c r="B1018" s="241">
        <v>7.47</v>
      </c>
      <c r="C1018" s="42">
        <f t="shared" si="15"/>
        <v>1000</v>
      </c>
    </row>
    <row r="1019" spans="1:3" x14ac:dyDescent="0.25">
      <c r="A1019" s="198">
        <v>43167</v>
      </c>
      <c r="B1019" s="241">
        <v>7.5</v>
      </c>
      <c r="C1019" s="42">
        <f t="shared" si="15"/>
        <v>1001</v>
      </c>
    </row>
    <row r="1020" spans="1:3" x14ac:dyDescent="0.25">
      <c r="A1020" s="198">
        <v>43174</v>
      </c>
      <c r="B1020" s="241">
        <v>7.46</v>
      </c>
      <c r="C1020" s="42">
        <f t="shared" si="15"/>
        <v>1002</v>
      </c>
    </row>
    <row r="1021" spans="1:3" x14ac:dyDescent="0.25">
      <c r="A1021" s="198">
        <v>43181</v>
      </c>
      <c r="B1021" s="241">
        <v>7.44</v>
      </c>
      <c r="C1021" s="42">
        <f t="shared" si="15"/>
        <v>1003</v>
      </c>
    </row>
    <row r="1022" spans="1:3" x14ac:dyDescent="0.25">
      <c r="A1022" s="198">
        <v>43187</v>
      </c>
      <c r="B1022" s="241">
        <v>7.49</v>
      </c>
      <c r="C1022" s="42">
        <f t="shared" si="15"/>
        <v>1004</v>
      </c>
    </row>
    <row r="1023" spans="1:3" x14ac:dyDescent="0.25">
      <c r="A1023" s="198">
        <v>43195</v>
      </c>
      <c r="B1023" s="241">
        <v>7.46</v>
      </c>
      <c r="C1023" s="42">
        <f t="shared" si="15"/>
        <v>1005</v>
      </c>
    </row>
    <row r="1024" spans="1:3" x14ac:dyDescent="0.25">
      <c r="A1024" s="198">
        <v>43202</v>
      </c>
      <c r="B1024" s="241">
        <v>7.47</v>
      </c>
      <c r="C1024" s="42">
        <f t="shared" si="15"/>
        <v>1006</v>
      </c>
    </row>
    <row r="1025" spans="1:3" x14ac:dyDescent="0.25">
      <c r="A1025" s="198">
        <v>43209</v>
      </c>
      <c r="B1025" s="241">
        <v>7.45</v>
      </c>
      <c r="C1025" s="42">
        <f t="shared" si="15"/>
        <v>1007</v>
      </c>
    </row>
    <row r="1026" spans="1:3" x14ac:dyDescent="0.25">
      <c r="A1026" s="198">
        <v>43216</v>
      </c>
      <c r="B1026" s="241">
        <v>7.45</v>
      </c>
      <c r="C1026" s="42">
        <f t="shared" si="15"/>
        <v>1008</v>
      </c>
    </row>
    <row r="1027" spans="1:3" x14ac:dyDescent="0.25">
      <c r="A1027" s="198">
        <v>43223</v>
      </c>
      <c r="B1027" s="241">
        <v>7.47</v>
      </c>
      <c r="C1027" s="42">
        <f t="shared" si="15"/>
        <v>1009</v>
      </c>
    </row>
    <row r="1028" spans="1:3" x14ac:dyDescent="0.25">
      <c r="A1028" s="198">
        <v>43230</v>
      </c>
      <c r="B1028" s="241">
        <v>7.52</v>
      </c>
      <c r="C1028" s="42">
        <f t="shared" si="15"/>
        <v>1010</v>
      </c>
    </row>
    <row r="1029" spans="1:3" x14ac:dyDescent="0.25">
      <c r="A1029" s="198">
        <v>43237</v>
      </c>
      <c r="B1029" s="241">
        <v>7.58</v>
      </c>
      <c r="C1029" s="42">
        <f t="shared" si="15"/>
        <v>1011</v>
      </c>
    </row>
    <row r="1030" spans="1:3" x14ac:dyDescent="0.25">
      <c r="A1030" s="198">
        <v>43244</v>
      </c>
      <c r="B1030" s="241">
        <v>7.51</v>
      </c>
      <c r="C1030" s="42">
        <f t="shared" si="15"/>
        <v>1012</v>
      </c>
    </row>
    <row r="1031" spans="1:3" x14ac:dyDescent="0.25">
      <c r="A1031" s="198">
        <v>43251</v>
      </c>
      <c r="B1031" s="241">
        <v>7.48</v>
      </c>
      <c r="C1031" s="42">
        <f t="shared" si="15"/>
        <v>1013</v>
      </c>
    </row>
    <row r="1032" spans="1:3" x14ac:dyDescent="0.25">
      <c r="A1032" s="198">
        <v>43258</v>
      </c>
      <c r="B1032" s="241">
        <v>7.51</v>
      </c>
      <c r="C1032" s="42">
        <f t="shared" si="15"/>
        <v>1014</v>
      </c>
    </row>
    <row r="1033" spans="1:3" x14ac:dyDescent="0.25">
      <c r="A1033" s="198">
        <v>43265</v>
      </c>
      <c r="B1033" s="241">
        <v>7.62</v>
      </c>
      <c r="C1033" s="42">
        <f t="shared" si="15"/>
        <v>1015</v>
      </c>
    </row>
    <row r="1034" spans="1:3" x14ac:dyDescent="0.25">
      <c r="A1034" s="198">
        <v>43272</v>
      </c>
      <c r="B1034" s="241">
        <v>7.71</v>
      </c>
      <c r="C1034" s="42">
        <f t="shared" si="15"/>
        <v>1016</v>
      </c>
    </row>
    <row r="1035" spans="1:3" x14ac:dyDescent="0.25">
      <c r="A1035" s="198">
        <v>43279</v>
      </c>
      <c r="B1035" s="241">
        <v>7.7</v>
      </c>
      <c r="C1035" s="42">
        <f t="shared" si="15"/>
        <v>1017</v>
      </c>
    </row>
    <row r="1036" spans="1:3" x14ac:dyDescent="0.25">
      <c r="A1036" s="198">
        <v>43286</v>
      </c>
      <c r="B1036" s="241">
        <v>7.72</v>
      </c>
      <c r="C1036" s="42">
        <f t="shared" si="15"/>
        <v>1018</v>
      </c>
    </row>
    <row r="1037" spans="1:3" x14ac:dyDescent="0.25">
      <c r="A1037" s="198">
        <v>43293</v>
      </c>
      <c r="B1037" s="241">
        <v>7.74</v>
      </c>
      <c r="C1037" s="42">
        <f t="shared" si="15"/>
        <v>1019</v>
      </c>
    </row>
    <row r="1038" spans="1:3" x14ac:dyDescent="0.25">
      <c r="A1038" s="198">
        <v>43300</v>
      </c>
      <c r="B1038" s="241">
        <v>7.74</v>
      </c>
      <c r="C1038" s="42">
        <f t="shared" si="15"/>
        <v>1020</v>
      </c>
    </row>
    <row r="1039" spans="1:3" x14ac:dyDescent="0.25">
      <c r="A1039" s="198">
        <v>43307</v>
      </c>
      <c r="B1039" s="241">
        <v>7.72</v>
      </c>
      <c r="C1039" s="42">
        <f t="shared" si="15"/>
        <v>1021</v>
      </c>
    </row>
    <row r="1040" spans="1:3" x14ac:dyDescent="0.25">
      <c r="A1040" s="198">
        <v>43314</v>
      </c>
      <c r="B1040" s="241">
        <v>7.74</v>
      </c>
      <c r="C1040" s="42">
        <f t="shared" si="15"/>
        <v>1022</v>
      </c>
    </row>
    <row r="1041" spans="1:3" x14ac:dyDescent="0.25">
      <c r="A1041" s="198">
        <v>43321</v>
      </c>
      <c r="B1041" s="241">
        <v>7.74</v>
      </c>
      <c r="C1041" s="42">
        <f t="shared" si="15"/>
        <v>1023</v>
      </c>
    </row>
    <row r="1042" spans="1:3" x14ac:dyDescent="0.25">
      <c r="A1042" s="198">
        <v>43328</v>
      </c>
      <c r="B1042" s="241">
        <v>7.74</v>
      </c>
      <c r="C1042" s="42">
        <f t="shared" si="15"/>
        <v>1024</v>
      </c>
    </row>
    <row r="1043" spans="1:3" x14ac:dyDescent="0.25">
      <c r="A1043" s="198">
        <v>43335</v>
      </c>
      <c r="B1043" s="241">
        <v>7.71</v>
      </c>
      <c r="C1043" s="42">
        <f t="shared" si="15"/>
        <v>1025</v>
      </c>
    </row>
    <row r="1044" spans="1:3" x14ac:dyDescent="0.25">
      <c r="A1044" s="198">
        <v>43342</v>
      </c>
      <c r="B1044" s="241">
        <v>7.72</v>
      </c>
      <c r="C1044" s="42">
        <f t="shared" si="15"/>
        <v>1026</v>
      </c>
    </row>
    <row r="1045" spans="1:3" x14ac:dyDescent="0.25">
      <c r="A1045" s="198">
        <v>43349</v>
      </c>
      <c r="B1045" s="241">
        <v>7.7</v>
      </c>
      <c r="C1045" s="42">
        <f t="shared" ref="C1045:C1108" si="16">+C1044+1</f>
        <v>1027</v>
      </c>
    </row>
    <row r="1046" spans="1:3" x14ac:dyDescent="0.25">
      <c r="A1046" s="198">
        <v>43356</v>
      </c>
      <c r="B1046" s="241">
        <v>7.7</v>
      </c>
      <c r="C1046" s="42">
        <f t="shared" si="16"/>
        <v>1028</v>
      </c>
    </row>
    <row r="1047" spans="1:3" x14ac:dyDescent="0.25">
      <c r="A1047" s="198">
        <v>43363</v>
      </c>
      <c r="B1047" s="241">
        <v>7.69</v>
      </c>
      <c r="C1047" s="42">
        <f t="shared" si="16"/>
        <v>1029</v>
      </c>
    </row>
    <row r="1048" spans="1:3" x14ac:dyDescent="0.25">
      <c r="A1048" s="198">
        <v>43370</v>
      </c>
      <c r="B1048" s="241">
        <v>7.65</v>
      </c>
      <c r="C1048" s="42">
        <f t="shared" si="16"/>
        <v>1030</v>
      </c>
    </row>
    <row r="1049" spans="1:3" x14ac:dyDescent="0.25">
      <c r="A1049" s="198">
        <v>43377</v>
      </c>
      <c r="B1049" s="241">
        <v>7.67</v>
      </c>
      <c r="C1049" s="42">
        <f t="shared" si="16"/>
        <v>1031</v>
      </c>
    </row>
    <row r="1050" spans="1:3" x14ac:dyDescent="0.25">
      <c r="A1050" s="198">
        <v>43384</v>
      </c>
      <c r="B1050" s="241">
        <v>7.7</v>
      </c>
      <c r="C1050" s="42">
        <f t="shared" si="16"/>
        <v>1032</v>
      </c>
    </row>
    <row r="1051" spans="1:3" x14ac:dyDescent="0.25">
      <c r="A1051" s="198">
        <v>43391</v>
      </c>
      <c r="B1051" s="241">
        <v>7.65</v>
      </c>
      <c r="C1051" s="42">
        <f t="shared" si="16"/>
        <v>1033</v>
      </c>
    </row>
    <row r="1052" spans="1:3" x14ac:dyDescent="0.25">
      <c r="A1052" s="198">
        <v>43398</v>
      </c>
      <c r="B1052" s="241">
        <v>7.72</v>
      </c>
      <c r="C1052" s="42">
        <f t="shared" si="16"/>
        <v>1034</v>
      </c>
    </row>
    <row r="1053" spans="1:3" x14ac:dyDescent="0.25">
      <c r="A1053" s="198">
        <v>43405</v>
      </c>
      <c r="B1053" s="241">
        <v>7.76</v>
      </c>
      <c r="C1053" s="42">
        <f t="shared" si="16"/>
        <v>1035</v>
      </c>
    </row>
    <row r="1054" spans="1:3" x14ac:dyDescent="0.25">
      <c r="A1054" s="198">
        <v>43412</v>
      </c>
      <c r="B1054" s="241">
        <v>7.71</v>
      </c>
      <c r="C1054" s="42">
        <f t="shared" si="16"/>
        <v>1036</v>
      </c>
    </row>
    <row r="1055" spans="1:3" x14ac:dyDescent="0.25">
      <c r="A1055" s="198">
        <v>43419</v>
      </c>
      <c r="B1055" s="241">
        <v>7.79</v>
      </c>
      <c r="C1055" s="42">
        <f t="shared" si="16"/>
        <v>1037</v>
      </c>
    </row>
    <row r="1056" spans="1:3" x14ac:dyDescent="0.25">
      <c r="A1056" s="198">
        <v>43426</v>
      </c>
      <c r="B1056" s="241">
        <v>7.94</v>
      </c>
      <c r="C1056" s="42">
        <f t="shared" si="16"/>
        <v>1038</v>
      </c>
    </row>
    <row r="1057" spans="1:6" x14ac:dyDescent="0.25">
      <c r="A1057" s="198">
        <v>43433</v>
      </c>
      <c r="B1057" s="241">
        <v>7.97</v>
      </c>
      <c r="C1057" s="42">
        <f t="shared" si="16"/>
        <v>1039</v>
      </c>
    </row>
    <row r="1058" spans="1:6" x14ac:dyDescent="0.25">
      <c r="A1058" s="198">
        <v>43440</v>
      </c>
      <c r="B1058" s="241">
        <v>7.95</v>
      </c>
      <c r="C1058" s="42">
        <f t="shared" si="16"/>
        <v>1040</v>
      </c>
    </row>
    <row r="1059" spans="1:6" x14ac:dyDescent="0.25">
      <c r="A1059" s="198">
        <v>43447</v>
      </c>
      <c r="B1059" s="241">
        <v>7.97</v>
      </c>
      <c r="C1059" s="42">
        <f t="shared" si="16"/>
        <v>1041</v>
      </c>
    </row>
    <row r="1060" spans="1:6" x14ac:dyDescent="0.25">
      <c r="A1060" s="198">
        <v>43454</v>
      </c>
      <c r="B1060" s="241">
        <v>8</v>
      </c>
      <c r="C1060" s="42">
        <f t="shared" si="16"/>
        <v>1042</v>
      </c>
    </row>
    <row r="1061" spans="1:6" x14ac:dyDescent="0.25">
      <c r="A1061" s="198">
        <v>43461</v>
      </c>
      <c r="B1061" s="241">
        <v>8.17</v>
      </c>
      <c r="C1061" s="42">
        <f t="shared" si="16"/>
        <v>1043</v>
      </c>
    </row>
    <row r="1062" spans="1:6" x14ac:dyDescent="0.25">
      <c r="A1062" s="198">
        <v>43468</v>
      </c>
      <c r="B1062" s="241">
        <v>8.06</v>
      </c>
      <c r="C1062" s="42">
        <f t="shared" si="16"/>
        <v>1044</v>
      </c>
    </row>
    <row r="1063" spans="1:6" x14ac:dyDescent="0.25">
      <c r="A1063" s="198">
        <v>43475</v>
      </c>
      <c r="B1063" s="241">
        <v>8</v>
      </c>
      <c r="C1063" s="42">
        <f t="shared" si="16"/>
        <v>1045</v>
      </c>
    </row>
    <row r="1064" spans="1:6" x14ac:dyDescent="0.25">
      <c r="A1064" s="198">
        <v>43482</v>
      </c>
      <c r="B1064" s="241">
        <v>7.91</v>
      </c>
      <c r="C1064" s="42">
        <f t="shared" si="16"/>
        <v>1046</v>
      </c>
    </row>
    <row r="1065" spans="1:6" x14ac:dyDescent="0.25">
      <c r="A1065" s="198">
        <v>43489</v>
      </c>
      <c r="B1065" s="241">
        <v>7.91</v>
      </c>
      <c r="C1065" s="42">
        <f t="shared" si="16"/>
        <v>1047</v>
      </c>
    </row>
    <row r="1066" spans="1:6" x14ac:dyDescent="0.25">
      <c r="A1066" s="198">
        <v>43496</v>
      </c>
      <c r="B1066" s="241">
        <v>7.86</v>
      </c>
      <c r="C1066" s="42">
        <f t="shared" si="16"/>
        <v>1048</v>
      </c>
    </row>
    <row r="1067" spans="1:6" x14ac:dyDescent="0.25">
      <c r="A1067" s="198">
        <v>43503</v>
      </c>
      <c r="B1067" s="241">
        <v>7.9</v>
      </c>
      <c r="C1067" s="42">
        <f t="shared" si="16"/>
        <v>1049</v>
      </c>
    </row>
    <row r="1068" spans="1:6" x14ac:dyDescent="0.25">
      <c r="A1068" s="198">
        <v>43510</v>
      </c>
      <c r="B1068" s="241">
        <v>7.88</v>
      </c>
      <c r="C1068" s="42">
        <f t="shared" si="16"/>
        <v>1050</v>
      </c>
      <c r="F1068" s="128"/>
    </row>
    <row r="1069" spans="1:6" x14ac:dyDescent="0.25">
      <c r="A1069" s="198">
        <v>43517</v>
      </c>
      <c r="B1069" s="241">
        <v>7.85</v>
      </c>
      <c r="C1069" s="42">
        <f t="shared" si="16"/>
        <v>1051</v>
      </c>
    </row>
    <row r="1070" spans="1:6" x14ac:dyDescent="0.25">
      <c r="A1070" s="198">
        <v>43524</v>
      </c>
      <c r="B1070" s="241">
        <v>8.1</v>
      </c>
      <c r="C1070" s="42">
        <f t="shared" si="16"/>
        <v>1052</v>
      </c>
    </row>
    <row r="1071" spans="1:6" x14ac:dyDescent="0.25">
      <c r="A1071" s="198">
        <v>43531</v>
      </c>
      <c r="B1071" s="241">
        <v>8</v>
      </c>
      <c r="C1071" s="42">
        <f t="shared" si="16"/>
        <v>1053</v>
      </c>
    </row>
    <row r="1072" spans="1:6" x14ac:dyDescent="0.25">
      <c r="A1072" s="198">
        <v>43538</v>
      </c>
      <c r="B1072" s="241">
        <v>8.09</v>
      </c>
      <c r="C1072" s="42">
        <f t="shared" si="16"/>
        <v>1054</v>
      </c>
    </row>
    <row r="1073" spans="1:3" x14ac:dyDescent="0.25">
      <c r="A1073" s="198">
        <v>43545</v>
      </c>
      <c r="B1073" s="241">
        <v>8.15</v>
      </c>
      <c r="C1073" s="42">
        <f t="shared" si="16"/>
        <v>1055</v>
      </c>
    </row>
    <row r="1074" spans="1:3" x14ac:dyDescent="0.25">
      <c r="A1074" s="198">
        <v>43552</v>
      </c>
      <c r="B1074" s="241">
        <v>7.85</v>
      </c>
      <c r="C1074" s="42">
        <f t="shared" si="16"/>
        <v>1056</v>
      </c>
    </row>
    <row r="1075" spans="1:3" x14ac:dyDescent="0.25">
      <c r="A1075" s="198">
        <v>43559</v>
      </c>
      <c r="B1075" s="241">
        <v>7.8</v>
      </c>
      <c r="C1075" s="42">
        <f t="shared" si="16"/>
        <v>1057</v>
      </c>
    </row>
    <row r="1076" spans="1:3" x14ac:dyDescent="0.25">
      <c r="A1076" s="198">
        <v>43566</v>
      </c>
      <c r="B1076" s="241">
        <v>7.76</v>
      </c>
      <c r="C1076" s="42">
        <f t="shared" si="16"/>
        <v>1058</v>
      </c>
    </row>
    <row r="1077" spans="1:3" x14ac:dyDescent="0.25">
      <c r="A1077" s="198">
        <v>43572</v>
      </c>
      <c r="B1077" s="241">
        <v>7.81</v>
      </c>
      <c r="C1077" s="42">
        <f t="shared" si="16"/>
        <v>1059</v>
      </c>
    </row>
    <row r="1078" spans="1:3" x14ac:dyDescent="0.25">
      <c r="A1078" s="198">
        <v>43580</v>
      </c>
      <c r="B1078" s="241">
        <v>7.75</v>
      </c>
      <c r="C1078" s="42">
        <f t="shared" si="16"/>
        <v>1060</v>
      </c>
    </row>
    <row r="1079" spans="1:3" x14ac:dyDescent="0.25">
      <c r="A1079" s="198">
        <v>43587</v>
      </c>
      <c r="B1079" s="241">
        <v>8.1999999999999993</v>
      </c>
      <c r="C1079" s="42">
        <f t="shared" si="16"/>
        <v>1061</v>
      </c>
    </row>
    <row r="1080" spans="1:3" x14ac:dyDescent="0.25">
      <c r="A1080" s="198">
        <v>43594</v>
      </c>
      <c r="B1080" s="241">
        <v>8.02</v>
      </c>
      <c r="C1080" s="42">
        <f t="shared" si="16"/>
        <v>1062</v>
      </c>
    </row>
    <row r="1081" spans="1:3" x14ac:dyDescent="0.25">
      <c r="A1081" s="198">
        <v>43601</v>
      </c>
      <c r="B1081" s="241">
        <v>8.0500000000000007</v>
      </c>
      <c r="C1081" s="42">
        <f t="shared" si="16"/>
        <v>1063</v>
      </c>
    </row>
    <row r="1082" spans="1:3" x14ac:dyDescent="0.25">
      <c r="A1082" s="198">
        <v>43608</v>
      </c>
      <c r="B1082" s="241">
        <v>8.0299999999999994</v>
      </c>
      <c r="C1082" s="42">
        <f t="shared" si="16"/>
        <v>1064</v>
      </c>
    </row>
    <row r="1083" spans="1:3" x14ac:dyDescent="0.25">
      <c r="A1083" s="198">
        <v>43615</v>
      </c>
      <c r="B1083" s="241">
        <v>8.0500000000000007</v>
      </c>
      <c r="C1083" s="42">
        <f t="shared" si="16"/>
        <v>1065</v>
      </c>
    </row>
    <row r="1084" spans="1:3" x14ac:dyDescent="0.25">
      <c r="A1084" s="198">
        <v>43622</v>
      </c>
      <c r="B1084" s="241">
        <v>8.3000000000000007</v>
      </c>
      <c r="C1084" s="42">
        <f t="shared" si="16"/>
        <v>1066</v>
      </c>
    </row>
    <row r="1085" spans="1:3" x14ac:dyDescent="0.25">
      <c r="A1085" s="198">
        <v>43629</v>
      </c>
      <c r="B1085" s="241">
        <v>8.2799999999999994</v>
      </c>
      <c r="C1085" s="42">
        <f t="shared" si="16"/>
        <v>1067</v>
      </c>
    </row>
    <row r="1086" spans="1:3" x14ac:dyDescent="0.25">
      <c r="A1086" s="198">
        <v>43636</v>
      </c>
      <c r="B1086" s="241">
        <v>8.24</v>
      </c>
      <c r="C1086" s="42">
        <f t="shared" si="16"/>
        <v>1068</v>
      </c>
    </row>
    <row r="1087" spans="1:3" x14ac:dyDescent="0.25">
      <c r="A1087" s="198">
        <v>43643</v>
      </c>
      <c r="B1087" s="241">
        <v>8.18</v>
      </c>
      <c r="C1087" s="42">
        <f t="shared" si="16"/>
        <v>1069</v>
      </c>
    </row>
    <row r="1088" spans="1:3" x14ac:dyDescent="0.25">
      <c r="A1088" s="198">
        <v>43650</v>
      </c>
      <c r="B1088" s="241">
        <v>8.1</v>
      </c>
      <c r="C1088" s="42">
        <f t="shared" si="16"/>
        <v>1070</v>
      </c>
    </row>
    <row r="1089" spans="1:3" x14ac:dyDescent="0.25">
      <c r="A1089" s="198">
        <v>43657</v>
      </c>
      <c r="B1089" s="241">
        <v>8.17</v>
      </c>
      <c r="C1089" s="42">
        <f t="shared" si="16"/>
        <v>1071</v>
      </c>
    </row>
    <row r="1090" spans="1:3" x14ac:dyDescent="0.25">
      <c r="A1090" s="198">
        <v>43664</v>
      </c>
      <c r="B1090" s="241">
        <v>8.1300000000000008</v>
      </c>
      <c r="C1090" s="42">
        <f t="shared" si="16"/>
        <v>1072</v>
      </c>
    </row>
    <row r="1091" spans="1:3" x14ac:dyDescent="0.25">
      <c r="A1091" s="198">
        <v>43671</v>
      </c>
      <c r="B1091" s="241">
        <v>8.15</v>
      </c>
      <c r="C1091" s="42">
        <f t="shared" si="16"/>
        <v>1073</v>
      </c>
    </row>
    <row r="1092" spans="1:3" x14ac:dyDescent="0.25">
      <c r="A1092" s="198">
        <v>43678</v>
      </c>
      <c r="B1092" s="241">
        <v>8.01</v>
      </c>
      <c r="C1092" s="42">
        <f t="shared" si="16"/>
        <v>1074</v>
      </c>
    </row>
    <row r="1093" spans="1:3" x14ac:dyDescent="0.25">
      <c r="A1093" s="198">
        <v>43685</v>
      </c>
      <c r="B1093" s="241">
        <v>8.15</v>
      </c>
      <c r="C1093" s="42">
        <f t="shared" si="16"/>
        <v>1075</v>
      </c>
    </row>
    <row r="1094" spans="1:3" x14ac:dyDescent="0.25">
      <c r="A1094" s="198">
        <v>43692</v>
      </c>
      <c r="B1094" s="241">
        <v>8.0500000000000007</v>
      </c>
      <c r="C1094" s="42">
        <f t="shared" si="16"/>
        <v>1076</v>
      </c>
    </row>
    <row r="1095" spans="1:3" x14ac:dyDescent="0.25">
      <c r="A1095" s="198">
        <v>43699</v>
      </c>
      <c r="B1095" s="241">
        <v>7.96</v>
      </c>
      <c r="C1095" s="42">
        <f t="shared" si="16"/>
        <v>1077</v>
      </c>
    </row>
    <row r="1096" spans="1:3" x14ac:dyDescent="0.25">
      <c r="A1096" s="198">
        <v>43706</v>
      </c>
      <c r="B1096" s="241">
        <v>7.87</v>
      </c>
      <c r="C1096" s="42">
        <f t="shared" si="16"/>
        <v>1078</v>
      </c>
    </row>
    <row r="1097" spans="1:3" x14ac:dyDescent="0.25">
      <c r="A1097" s="198">
        <v>43713</v>
      </c>
      <c r="B1097" s="241">
        <v>7.81</v>
      </c>
      <c r="C1097" s="42">
        <f t="shared" si="16"/>
        <v>1079</v>
      </c>
    </row>
    <row r="1098" spans="1:3" x14ac:dyDescent="0.25">
      <c r="A1098" s="198">
        <v>43720</v>
      </c>
      <c r="B1098" s="241">
        <v>7.72</v>
      </c>
      <c r="C1098" s="42">
        <f t="shared" si="16"/>
        <v>1080</v>
      </c>
    </row>
    <row r="1099" spans="1:3" x14ac:dyDescent="0.25">
      <c r="A1099" s="198">
        <v>43727</v>
      </c>
      <c r="B1099" s="241">
        <v>7.72</v>
      </c>
      <c r="C1099" s="42">
        <f t="shared" si="16"/>
        <v>1081</v>
      </c>
    </row>
    <row r="1100" spans="1:3" x14ac:dyDescent="0.25">
      <c r="A1100" s="198">
        <v>43734</v>
      </c>
      <c r="B1100" s="241">
        <v>7.61</v>
      </c>
      <c r="C1100" s="42">
        <f t="shared" si="16"/>
        <v>1082</v>
      </c>
    </row>
    <row r="1101" spans="1:3" x14ac:dyDescent="0.25">
      <c r="A1101" s="198">
        <v>43741</v>
      </c>
      <c r="B1101" s="241">
        <v>7.65</v>
      </c>
      <c r="C1101" s="42">
        <f t="shared" si="16"/>
        <v>1083</v>
      </c>
    </row>
    <row r="1102" spans="1:3" x14ac:dyDescent="0.25">
      <c r="A1102" s="198">
        <v>43748</v>
      </c>
      <c r="B1102" s="241">
        <v>7.7</v>
      </c>
      <c r="C1102" s="42">
        <f t="shared" si="16"/>
        <v>1084</v>
      </c>
    </row>
    <row r="1103" spans="1:3" x14ac:dyDescent="0.25">
      <c r="A1103" s="198">
        <v>43755</v>
      </c>
      <c r="B1103" s="241">
        <v>7.67</v>
      </c>
      <c r="C1103" s="42">
        <f t="shared" si="16"/>
        <v>1085</v>
      </c>
    </row>
    <row r="1104" spans="1:3" x14ac:dyDescent="0.25">
      <c r="A1104" s="198">
        <v>43762</v>
      </c>
      <c r="B1104" s="241">
        <v>7.65</v>
      </c>
      <c r="C1104" s="42">
        <f t="shared" si="16"/>
        <v>1086</v>
      </c>
    </row>
    <row r="1105" spans="1:3" x14ac:dyDescent="0.25">
      <c r="A1105" s="198">
        <v>43769</v>
      </c>
      <c r="B1105" s="241">
        <v>7.62</v>
      </c>
      <c r="C1105" s="42">
        <f t="shared" si="16"/>
        <v>1087</v>
      </c>
    </row>
    <row r="1106" spans="1:3" x14ac:dyDescent="0.25">
      <c r="A1106" s="198">
        <v>43776</v>
      </c>
      <c r="B1106" s="241">
        <v>7.55</v>
      </c>
      <c r="C1106" s="42">
        <f t="shared" si="16"/>
        <v>1088</v>
      </c>
    </row>
    <row r="1107" spans="1:3" x14ac:dyDescent="0.25">
      <c r="A1107" s="198">
        <v>43783</v>
      </c>
      <c r="B1107" s="241">
        <v>7.45</v>
      </c>
      <c r="C1107" s="42">
        <f t="shared" si="16"/>
        <v>1089</v>
      </c>
    </row>
    <row r="1108" spans="1:3" x14ac:dyDescent="0.25">
      <c r="A1108" s="198">
        <v>43790</v>
      </c>
      <c r="B1108" s="241">
        <v>7.43</v>
      </c>
      <c r="C1108" s="42">
        <f t="shared" si="16"/>
        <v>1090</v>
      </c>
    </row>
    <row r="1109" spans="1:3" x14ac:dyDescent="0.25">
      <c r="A1109" s="198">
        <v>43797</v>
      </c>
      <c r="B1109" s="241">
        <v>7.46</v>
      </c>
      <c r="C1109" s="42">
        <f t="shared" ref="C1109:C1172" si="17">+C1108+1</f>
        <v>1091</v>
      </c>
    </row>
    <row r="1110" spans="1:3" x14ac:dyDescent="0.25">
      <c r="A1110" s="198">
        <v>43804</v>
      </c>
      <c r="B1110" s="241">
        <v>7.4</v>
      </c>
      <c r="C1110" s="42">
        <f t="shared" si="17"/>
        <v>1092</v>
      </c>
    </row>
    <row r="1111" spans="1:3" x14ac:dyDescent="0.25">
      <c r="A1111" s="198">
        <v>43810</v>
      </c>
      <c r="B1111" s="241">
        <v>7.04</v>
      </c>
      <c r="C1111" s="42">
        <f t="shared" si="17"/>
        <v>1093</v>
      </c>
    </row>
    <row r="1112" spans="1:3" x14ac:dyDescent="0.25">
      <c r="A1112" s="198">
        <v>43818</v>
      </c>
      <c r="B1112" s="241">
        <v>6.8</v>
      </c>
      <c r="C1112" s="42">
        <f t="shared" si="17"/>
        <v>1094</v>
      </c>
    </row>
    <row r="1113" spans="1:3" x14ac:dyDescent="0.25">
      <c r="A1113" s="198">
        <v>43825</v>
      </c>
      <c r="B1113" s="241">
        <v>7.25</v>
      </c>
      <c r="C1113" s="42">
        <f t="shared" si="17"/>
        <v>1095</v>
      </c>
    </row>
    <row r="1114" spans="1:3" x14ac:dyDescent="0.25">
      <c r="A1114" s="198">
        <v>43832</v>
      </c>
      <c r="B1114" s="241">
        <v>7.25</v>
      </c>
      <c r="C1114" s="42">
        <f t="shared" si="17"/>
        <v>1096</v>
      </c>
    </row>
    <row r="1115" spans="1:3" x14ac:dyDescent="0.25">
      <c r="A1115" s="198">
        <v>43839</v>
      </c>
      <c r="B1115" s="241">
        <v>7.26</v>
      </c>
      <c r="C1115" s="42">
        <f t="shared" si="17"/>
        <v>1097</v>
      </c>
    </row>
    <row r="1116" spans="1:3" x14ac:dyDescent="0.25">
      <c r="A1116" s="198">
        <v>43846</v>
      </c>
      <c r="B1116" s="241">
        <v>7</v>
      </c>
      <c r="C1116" s="42">
        <f t="shared" si="17"/>
        <v>1098</v>
      </c>
    </row>
    <row r="1117" spans="1:3" x14ac:dyDescent="0.25">
      <c r="A1117" s="198">
        <v>43853</v>
      </c>
      <c r="B1117" s="241">
        <v>7.05</v>
      </c>
      <c r="C1117" s="42">
        <f t="shared" si="17"/>
        <v>1099</v>
      </c>
    </row>
    <row r="1118" spans="1:3" x14ac:dyDescent="0.25">
      <c r="A1118" s="198">
        <v>43860</v>
      </c>
      <c r="B1118" s="241">
        <v>7.04</v>
      </c>
      <c r="C1118" s="42">
        <f t="shared" si="17"/>
        <v>1100</v>
      </c>
    </row>
    <row r="1119" spans="1:3" x14ac:dyDescent="0.25">
      <c r="A1119" s="198">
        <v>43867</v>
      </c>
      <c r="B1119" s="241">
        <v>6.99</v>
      </c>
      <c r="C1119" s="42">
        <f t="shared" si="17"/>
        <v>1101</v>
      </c>
    </row>
    <row r="1120" spans="1:3" x14ac:dyDescent="0.25">
      <c r="A1120" s="198">
        <v>43874</v>
      </c>
      <c r="B1120" s="241">
        <v>7</v>
      </c>
      <c r="C1120" s="42">
        <f t="shared" si="17"/>
        <v>1102</v>
      </c>
    </row>
    <row r="1121" spans="1:3" x14ac:dyDescent="0.25">
      <c r="A1121" s="198">
        <v>43881</v>
      </c>
      <c r="B1121" s="241">
        <v>6.95</v>
      </c>
      <c r="C1121" s="42">
        <f t="shared" si="17"/>
        <v>1103</v>
      </c>
    </row>
    <row r="1122" spans="1:3" x14ac:dyDescent="0.25">
      <c r="A1122" s="198">
        <v>43888</v>
      </c>
      <c r="B1122" s="241">
        <v>6.91</v>
      </c>
      <c r="C1122" s="42">
        <f t="shared" si="17"/>
        <v>1104</v>
      </c>
    </row>
    <row r="1123" spans="1:3" x14ac:dyDescent="0.25">
      <c r="A1123" s="198">
        <v>43895</v>
      </c>
      <c r="B1123" s="241">
        <v>6.7</v>
      </c>
      <c r="C1123" s="42">
        <f t="shared" si="17"/>
        <v>1105</v>
      </c>
    </row>
    <row r="1124" spans="1:3" x14ac:dyDescent="0.25">
      <c r="A1124" s="198">
        <v>43902</v>
      </c>
      <c r="B1124" s="241">
        <v>6.81</v>
      </c>
      <c r="C1124" s="42">
        <f t="shared" si="17"/>
        <v>1106</v>
      </c>
    </row>
    <row r="1125" spans="1:3" x14ac:dyDescent="0.25">
      <c r="A1125" s="198">
        <v>43909</v>
      </c>
      <c r="B1125" s="241">
        <v>7.15</v>
      </c>
      <c r="C1125" s="42">
        <f t="shared" si="17"/>
        <v>1107</v>
      </c>
    </row>
    <row r="1126" spans="1:3" x14ac:dyDescent="0.25">
      <c r="A1126" s="198">
        <v>43916</v>
      </c>
      <c r="B1126" s="241">
        <v>6.59</v>
      </c>
      <c r="C1126" s="42">
        <f t="shared" si="17"/>
        <v>1108</v>
      </c>
    </row>
    <row r="1127" spans="1:3" x14ac:dyDescent="0.25">
      <c r="A1127" s="198">
        <v>43923</v>
      </c>
      <c r="B1127" s="241">
        <v>6.39</v>
      </c>
      <c r="C1127" s="42">
        <f t="shared" si="17"/>
        <v>1109</v>
      </c>
    </row>
    <row r="1128" spans="1:3" x14ac:dyDescent="0.25">
      <c r="A1128" s="198">
        <v>43929</v>
      </c>
      <c r="B1128" s="241">
        <v>6.23</v>
      </c>
      <c r="C1128" s="42">
        <f t="shared" si="17"/>
        <v>1110</v>
      </c>
    </row>
    <row r="1129" spans="1:3" x14ac:dyDescent="0.25">
      <c r="A1129" s="198">
        <v>43937</v>
      </c>
      <c r="B1129" s="241">
        <v>6</v>
      </c>
      <c r="C1129" s="42">
        <f t="shared" si="17"/>
        <v>1111</v>
      </c>
    </row>
    <row r="1130" spans="1:3" x14ac:dyDescent="0.25">
      <c r="A1130" s="198">
        <v>43944</v>
      </c>
      <c r="B1130" s="241">
        <v>6</v>
      </c>
      <c r="C1130" s="42">
        <f t="shared" si="17"/>
        <v>1112</v>
      </c>
    </row>
    <row r="1131" spans="1:3" x14ac:dyDescent="0.25">
      <c r="A1131" s="198">
        <v>43951</v>
      </c>
      <c r="B1131" s="241">
        <v>5.84</v>
      </c>
      <c r="C1131" s="42">
        <f t="shared" si="17"/>
        <v>1113</v>
      </c>
    </row>
    <row r="1132" spans="1:3" x14ac:dyDescent="0.25">
      <c r="A1132" s="198">
        <v>43958</v>
      </c>
      <c r="B1132" s="241">
        <v>5.7</v>
      </c>
      <c r="C1132" s="42">
        <f t="shared" si="17"/>
        <v>1114</v>
      </c>
    </row>
    <row r="1133" spans="1:3" x14ac:dyDescent="0.25">
      <c r="A1133" s="198">
        <v>43965</v>
      </c>
      <c r="B1133" s="241">
        <v>5.39</v>
      </c>
      <c r="C1133" s="42">
        <f t="shared" si="17"/>
        <v>1115</v>
      </c>
    </row>
    <row r="1134" spans="1:3" x14ac:dyDescent="0.25">
      <c r="A1134" s="198">
        <v>43972</v>
      </c>
      <c r="B1134" s="241">
        <v>5.39</v>
      </c>
      <c r="C1134" s="42">
        <f t="shared" si="17"/>
        <v>1116</v>
      </c>
    </row>
    <row r="1135" spans="1:3" x14ac:dyDescent="0.25">
      <c r="A1135" s="198">
        <v>43979</v>
      </c>
      <c r="B1135" s="241">
        <v>5.38</v>
      </c>
      <c r="C1135" s="42">
        <f t="shared" si="17"/>
        <v>1117</v>
      </c>
    </row>
    <row r="1136" spans="1:3" x14ac:dyDescent="0.25">
      <c r="A1136" s="198">
        <v>43986</v>
      </c>
      <c r="B1136" s="241">
        <v>5.27</v>
      </c>
      <c r="C1136" s="42">
        <f t="shared" si="17"/>
        <v>1118</v>
      </c>
    </row>
    <row r="1137" spans="1:3" x14ac:dyDescent="0.25">
      <c r="A1137" s="198">
        <v>43993</v>
      </c>
      <c r="B1137" s="241">
        <v>5.15</v>
      </c>
      <c r="C1137" s="42">
        <f t="shared" si="17"/>
        <v>1119</v>
      </c>
    </row>
    <row r="1138" spans="1:3" x14ac:dyDescent="0.25">
      <c r="A1138" s="198">
        <v>44000</v>
      </c>
      <c r="B1138" s="241">
        <v>4.9800000000000004</v>
      </c>
      <c r="C1138" s="42">
        <f t="shared" si="17"/>
        <v>1120</v>
      </c>
    </row>
    <row r="1139" spans="1:3" x14ac:dyDescent="0.25">
      <c r="A1139" s="198">
        <v>44007</v>
      </c>
      <c r="B1139" s="241">
        <v>4.8499999999999996</v>
      </c>
      <c r="C1139" s="42">
        <f t="shared" si="17"/>
        <v>1121</v>
      </c>
    </row>
    <row r="1140" spans="1:3" x14ac:dyDescent="0.25">
      <c r="A1140" s="198">
        <v>44014</v>
      </c>
      <c r="B1140" s="241">
        <v>4.8099999999999996</v>
      </c>
      <c r="C1140" s="42">
        <f t="shared" si="17"/>
        <v>1122</v>
      </c>
    </row>
    <row r="1141" spans="1:3" x14ac:dyDescent="0.25">
      <c r="A1141" s="198">
        <v>44021</v>
      </c>
      <c r="B1141" s="241">
        <v>4.95</v>
      </c>
      <c r="C1141" s="42">
        <f t="shared" si="17"/>
        <v>1123</v>
      </c>
    </row>
    <row r="1142" spans="1:3" x14ac:dyDescent="0.25">
      <c r="A1142" s="198">
        <v>44028</v>
      </c>
      <c r="B1142" s="241">
        <v>4.9000000000000004</v>
      </c>
      <c r="C1142" s="42">
        <f t="shared" si="17"/>
        <v>1124</v>
      </c>
    </row>
    <row r="1143" spans="1:3" x14ac:dyDescent="0.25">
      <c r="A1143" s="198">
        <v>44035</v>
      </c>
      <c r="B1143" s="241">
        <v>4.8</v>
      </c>
      <c r="C1143" s="42">
        <f t="shared" si="17"/>
        <v>1125</v>
      </c>
    </row>
    <row r="1144" spans="1:3" x14ac:dyDescent="0.25">
      <c r="A1144" s="198">
        <v>44042</v>
      </c>
      <c r="B1144" s="241">
        <v>4.63</v>
      </c>
      <c r="C1144" s="42">
        <f t="shared" si="17"/>
        <v>1126</v>
      </c>
    </row>
    <row r="1145" spans="1:3" x14ac:dyDescent="0.25">
      <c r="A1145" s="198">
        <v>44049</v>
      </c>
      <c r="B1145" s="241">
        <v>4.53</v>
      </c>
      <c r="C1145" s="42">
        <f t="shared" si="17"/>
        <v>1127</v>
      </c>
    </row>
    <row r="1146" spans="1:3" x14ac:dyDescent="0.25">
      <c r="A1146" s="198">
        <v>44056</v>
      </c>
      <c r="B1146" s="241">
        <v>4.4800000000000004</v>
      </c>
      <c r="C1146" s="42">
        <f t="shared" si="17"/>
        <v>1128</v>
      </c>
    </row>
    <row r="1147" spans="1:3" x14ac:dyDescent="0.25">
      <c r="A1147" s="198">
        <v>44063</v>
      </c>
      <c r="B1147" s="241">
        <v>4.43</v>
      </c>
      <c r="C1147" s="42">
        <f t="shared" si="17"/>
        <v>1129</v>
      </c>
    </row>
    <row r="1148" spans="1:3" x14ac:dyDescent="0.25">
      <c r="A1148" s="198">
        <v>44070</v>
      </c>
      <c r="B1148" s="241">
        <v>4.5</v>
      </c>
      <c r="C1148" s="42">
        <f t="shared" si="17"/>
        <v>1130</v>
      </c>
    </row>
    <row r="1149" spans="1:3" x14ac:dyDescent="0.25">
      <c r="A1149" s="198">
        <v>44077</v>
      </c>
      <c r="B1149" s="241">
        <v>4.42</v>
      </c>
      <c r="C1149" s="42">
        <f t="shared" si="17"/>
        <v>1131</v>
      </c>
    </row>
    <row r="1150" spans="1:3" x14ac:dyDescent="0.25">
      <c r="A1150" s="198">
        <v>44084</v>
      </c>
      <c r="B1150" s="241">
        <v>4.41</v>
      </c>
      <c r="C1150" s="42">
        <f t="shared" si="17"/>
        <v>1132</v>
      </c>
    </row>
    <row r="1151" spans="1:3" x14ac:dyDescent="0.25">
      <c r="A1151" s="198">
        <v>44091</v>
      </c>
      <c r="B1151" s="241">
        <v>4.45</v>
      </c>
      <c r="C1151" s="42">
        <f t="shared" si="17"/>
        <v>1133</v>
      </c>
    </row>
    <row r="1152" spans="1:3" x14ac:dyDescent="0.25">
      <c r="A1152" s="198">
        <v>44098</v>
      </c>
      <c r="B1152" s="241">
        <v>4.25</v>
      </c>
      <c r="C1152" s="42">
        <f t="shared" si="17"/>
        <v>1134</v>
      </c>
    </row>
    <row r="1153" spans="1:3" x14ac:dyDescent="0.25">
      <c r="A1153" s="198">
        <v>44105</v>
      </c>
      <c r="B1153" s="241">
        <v>4.18</v>
      </c>
      <c r="C1153" s="42">
        <f t="shared" si="17"/>
        <v>1135</v>
      </c>
    </row>
    <row r="1154" spans="1:3" x14ac:dyDescent="0.25">
      <c r="A1154" s="198">
        <v>44112</v>
      </c>
      <c r="B1154" s="241">
        <v>4.26</v>
      </c>
      <c r="C1154" s="42">
        <f t="shared" si="17"/>
        <v>1136</v>
      </c>
    </row>
    <row r="1155" spans="1:3" x14ac:dyDescent="0.25">
      <c r="A1155" s="198">
        <v>44119</v>
      </c>
      <c r="B1155" s="241">
        <v>4.22</v>
      </c>
      <c r="C1155" s="42">
        <f t="shared" si="17"/>
        <v>1137</v>
      </c>
    </row>
    <row r="1156" spans="1:3" x14ac:dyDescent="0.25">
      <c r="A1156" s="198">
        <v>44126</v>
      </c>
      <c r="B1156" s="241">
        <v>4.1399999999999997</v>
      </c>
      <c r="C1156" s="42">
        <f t="shared" si="17"/>
        <v>1138</v>
      </c>
    </row>
    <row r="1157" spans="1:3" x14ac:dyDescent="0.25">
      <c r="A1157" s="198">
        <v>44133</v>
      </c>
      <c r="B1157" s="241">
        <v>4.22</v>
      </c>
      <c r="C1157" s="42">
        <f t="shared" si="17"/>
        <v>1139</v>
      </c>
    </row>
    <row r="1158" spans="1:3" x14ac:dyDescent="0.25">
      <c r="A1158" s="198">
        <v>44140</v>
      </c>
      <c r="B1158" s="241">
        <v>4.25</v>
      </c>
      <c r="C1158" s="42">
        <f t="shared" si="17"/>
        <v>1140</v>
      </c>
    </row>
    <row r="1159" spans="1:3" x14ac:dyDescent="0.25">
      <c r="A1159" s="198">
        <v>44147</v>
      </c>
      <c r="B1159" s="241">
        <v>4.1399999999999997</v>
      </c>
      <c r="C1159" s="42">
        <f t="shared" si="17"/>
        <v>1141</v>
      </c>
    </row>
    <row r="1160" spans="1:3" x14ac:dyDescent="0.25">
      <c r="A1160" s="198">
        <v>44154</v>
      </c>
      <c r="B1160" s="241">
        <v>4.24</v>
      </c>
      <c r="C1160" s="42">
        <f t="shared" si="17"/>
        <v>1142</v>
      </c>
    </row>
    <row r="1161" spans="1:3" x14ac:dyDescent="0.25">
      <c r="A1161" s="198">
        <v>44161</v>
      </c>
      <c r="B1161" s="241">
        <v>4.28</v>
      </c>
      <c r="C1161" s="42">
        <f t="shared" si="17"/>
        <v>1143</v>
      </c>
    </row>
    <row r="1162" spans="1:3" x14ac:dyDescent="0.25">
      <c r="A1162" s="198">
        <v>44168</v>
      </c>
      <c r="B1162" s="241">
        <v>4.3499999999999996</v>
      </c>
      <c r="C1162" s="42">
        <f t="shared" si="17"/>
        <v>1144</v>
      </c>
    </row>
    <row r="1163" spans="1:3" x14ac:dyDescent="0.25">
      <c r="A1163" s="198">
        <v>44175</v>
      </c>
      <c r="B1163" s="241">
        <v>4.26</v>
      </c>
      <c r="C1163" s="42">
        <f t="shared" si="17"/>
        <v>1145</v>
      </c>
    </row>
    <row r="1164" spans="1:3" x14ac:dyDescent="0.25">
      <c r="A1164" s="198">
        <v>44182</v>
      </c>
      <c r="B1164" s="241">
        <v>4.2300000000000004</v>
      </c>
      <c r="C1164" s="42">
        <f t="shared" si="17"/>
        <v>1146</v>
      </c>
    </row>
    <row r="1165" spans="1:3" x14ac:dyDescent="0.25">
      <c r="A1165" s="198">
        <v>44189</v>
      </c>
      <c r="B1165" s="241">
        <v>4.2699999999999996</v>
      </c>
      <c r="C1165" s="42">
        <f t="shared" si="17"/>
        <v>1147</v>
      </c>
    </row>
    <row r="1166" spans="1:3" x14ac:dyDescent="0.25">
      <c r="A1166" s="198">
        <v>44196</v>
      </c>
      <c r="B1166" s="241">
        <v>4.24</v>
      </c>
      <c r="C1166" s="42">
        <f t="shared" si="17"/>
        <v>1148</v>
      </c>
    </row>
    <row r="1167" spans="1:3" x14ac:dyDescent="0.25">
      <c r="A1167" s="198">
        <v>44203</v>
      </c>
      <c r="B1167" s="241">
        <v>4.28</v>
      </c>
      <c r="C1167" s="42">
        <f t="shared" si="17"/>
        <v>1149</v>
      </c>
    </row>
    <row r="1168" spans="1:3" x14ac:dyDescent="0.25">
      <c r="A1168" s="198">
        <v>44210</v>
      </c>
      <c r="B1168" s="241">
        <v>4.1900000000000004</v>
      </c>
      <c r="C1168" s="42">
        <f t="shared" si="17"/>
        <v>1150</v>
      </c>
    </row>
    <row r="1169" spans="1:3" x14ac:dyDescent="0.25">
      <c r="A1169" s="198">
        <v>44217</v>
      </c>
      <c r="B1169" s="241">
        <v>4.1900000000000004</v>
      </c>
      <c r="C1169" s="42">
        <f t="shared" si="17"/>
        <v>1151</v>
      </c>
    </row>
    <row r="1170" spans="1:3" x14ac:dyDescent="0.25">
      <c r="A1170" s="198">
        <v>44224</v>
      </c>
      <c r="B1170" s="241">
        <v>4.22</v>
      </c>
      <c r="C1170" s="42">
        <f t="shared" si="17"/>
        <v>1152</v>
      </c>
    </row>
    <row r="1171" spans="1:3" x14ac:dyDescent="0.25">
      <c r="A1171" s="198">
        <v>44231</v>
      </c>
      <c r="B1171" s="241">
        <v>4.24</v>
      </c>
      <c r="C1171" s="42">
        <f t="shared" si="17"/>
        <v>1153</v>
      </c>
    </row>
    <row r="1172" spans="1:3" x14ac:dyDescent="0.25">
      <c r="A1172" s="198">
        <v>44238</v>
      </c>
      <c r="B1172" s="241">
        <v>4.1900000000000004</v>
      </c>
      <c r="C1172" s="42">
        <f t="shared" si="17"/>
        <v>1154</v>
      </c>
    </row>
    <row r="1173" spans="1:3" x14ac:dyDescent="0.25">
      <c r="A1173" s="198">
        <v>44245</v>
      </c>
      <c r="B1173" s="241">
        <v>4.01</v>
      </c>
      <c r="C1173" s="42">
        <f t="shared" ref="C1173:C1236" si="18">+C1172+1</f>
        <v>1155</v>
      </c>
    </row>
    <row r="1174" spans="1:3" x14ac:dyDescent="0.25">
      <c r="A1174" s="198">
        <v>44252</v>
      </c>
      <c r="B1174" s="241">
        <v>4.0199999999999996</v>
      </c>
      <c r="C1174" s="42">
        <f t="shared" si="18"/>
        <v>1156</v>
      </c>
    </row>
    <row r="1175" spans="1:3" x14ac:dyDescent="0.25">
      <c r="A1175" s="198">
        <v>44259</v>
      </c>
      <c r="B1175" s="241">
        <v>4.0599999999999996</v>
      </c>
      <c r="C1175" s="42">
        <f t="shared" si="18"/>
        <v>1157</v>
      </c>
    </row>
    <row r="1176" spans="1:3" x14ac:dyDescent="0.25">
      <c r="A1176" s="198">
        <v>44266</v>
      </c>
      <c r="B1176" s="241">
        <v>4.05</v>
      </c>
      <c r="C1176" s="42">
        <f t="shared" si="18"/>
        <v>1158</v>
      </c>
    </row>
    <row r="1177" spans="1:3" x14ac:dyDescent="0.25">
      <c r="A1177" s="198">
        <v>44273</v>
      </c>
      <c r="B1177" s="241">
        <v>4.05</v>
      </c>
      <c r="C1177" s="42">
        <f t="shared" si="18"/>
        <v>1159</v>
      </c>
    </row>
    <row r="1178" spans="1:3" x14ac:dyDescent="0.25">
      <c r="A1178" s="198">
        <v>44280</v>
      </c>
      <c r="B1178" s="241">
        <v>4.03</v>
      </c>
      <c r="C1178" s="42">
        <f t="shared" si="18"/>
        <v>1160</v>
      </c>
    </row>
    <row r="1179" spans="1:3" x14ac:dyDescent="0.25">
      <c r="A1179" s="198">
        <v>44286</v>
      </c>
      <c r="B1179" s="241">
        <v>4.08</v>
      </c>
      <c r="C1179" s="42">
        <f t="shared" si="18"/>
        <v>1161</v>
      </c>
    </row>
    <row r="1180" spans="1:3" x14ac:dyDescent="0.25">
      <c r="A1180" s="198">
        <v>44294</v>
      </c>
      <c r="B1180" s="241">
        <v>4.07</v>
      </c>
      <c r="C1180" s="42">
        <f t="shared" si="18"/>
        <v>1162</v>
      </c>
    </row>
    <row r="1181" spans="1:3" x14ac:dyDescent="0.25">
      <c r="A1181" s="198">
        <v>44301</v>
      </c>
      <c r="B1181" s="241">
        <v>4.07</v>
      </c>
      <c r="C1181" s="42">
        <f t="shared" si="18"/>
        <v>1163</v>
      </c>
    </row>
    <row r="1182" spans="1:3" x14ac:dyDescent="0.25">
      <c r="A1182" s="198">
        <v>44308</v>
      </c>
      <c r="B1182" s="241">
        <v>4.0599999999999996</v>
      </c>
      <c r="C1182" s="42">
        <f t="shared" si="18"/>
        <v>1164</v>
      </c>
    </row>
    <row r="1183" spans="1:3" x14ac:dyDescent="0.25">
      <c r="A1183" s="198">
        <v>44315</v>
      </c>
      <c r="B1183" s="241">
        <v>4.0599999999999996</v>
      </c>
      <c r="C1183" s="42">
        <f t="shared" si="18"/>
        <v>1165</v>
      </c>
    </row>
    <row r="1184" spans="1:3" x14ac:dyDescent="0.25">
      <c r="A1184" s="198">
        <v>44322</v>
      </c>
      <c r="B1184" s="241">
        <v>4.07</v>
      </c>
      <c r="C1184" s="42">
        <f t="shared" si="18"/>
        <v>1166</v>
      </c>
    </row>
    <row r="1185" spans="1:3" x14ac:dyDescent="0.25">
      <c r="A1185" s="198">
        <v>44329</v>
      </c>
      <c r="B1185" s="241">
        <v>4.0599999999999996</v>
      </c>
      <c r="C1185" s="42">
        <f t="shared" si="18"/>
        <v>1167</v>
      </c>
    </row>
    <row r="1186" spans="1:3" x14ac:dyDescent="0.25">
      <c r="A1186" s="198">
        <v>44336</v>
      </c>
      <c r="B1186" s="241">
        <v>4.05</v>
      </c>
      <c r="C1186" s="42">
        <f t="shared" si="18"/>
        <v>1168</v>
      </c>
    </row>
    <row r="1187" spans="1:3" x14ac:dyDescent="0.25">
      <c r="A1187" s="198">
        <v>44343</v>
      </c>
      <c r="B1187" s="241">
        <v>4.07</v>
      </c>
      <c r="C1187" s="42">
        <f t="shared" si="18"/>
        <v>1169</v>
      </c>
    </row>
    <row r="1188" spans="1:3" x14ac:dyDescent="0.25">
      <c r="A1188" s="198">
        <v>44350</v>
      </c>
      <c r="B1188" s="241">
        <v>4.0199999999999996</v>
      </c>
      <c r="C1188" s="42">
        <f t="shared" si="18"/>
        <v>1170</v>
      </c>
    </row>
    <row r="1189" spans="1:3" x14ac:dyDescent="0.25">
      <c r="A1189" s="198">
        <v>44357</v>
      </c>
      <c r="B1189" s="241">
        <v>4.04</v>
      </c>
      <c r="C1189" s="42">
        <f t="shared" si="18"/>
        <v>1171</v>
      </c>
    </row>
    <row r="1190" spans="1:3" x14ac:dyDescent="0.25">
      <c r="A1190" s="198">
        <v>44364</v>
      </c>
      <c r="B1190" s="241">
        <v>4</v>
      </c>
      <c r="C1190" s="42">
        <f t="shared" si="18"/>
        <v>1172</v>
      </c>
    </row>
    <row r="1191" spans="1:3" x14ac:dyDescent="0.25">
      <c r="A1191" s="198">
        <v>44371</v>
      </c>
      <c r="B1191" s="241">
        <v>4.03</v>
      </c>
      <c r="C1191" s="42">
        <f t="shared" si="18"/>
        <v>1173</v>
      </c>
    </row>
    <row r="1192" spans="1:3" x14ac:dyDescent="0.25">
      <c r="A1192" s="198">
        <v>44378</v>
      </c>
      <c r="B1192" s="241">
        <v>4.3</v>
      </c>
      <c r="C1192" s="42">
        <f t="shared" si="18"/>
        <v>1174</v>
      </c>
    </row>
    <row r="1193" spans="1:3" x14ac:dyDescent="0.25">
      <c r="A1193" s="198">
        <v>44385</v>
      </c>
      <c r="B1193" s="241">
        <v>4.3</v>
      </c>
      <c r="C1193" s="42">
        <f t="shared" si="18"/>
        <v>1175</v>
      </c>
    </row>
    <row r="1194" spans="1:3" x14ac:dyDescent="0.25">
      <c r="A1194" s="198">
        <v>44392</v>
      </c>
      <c r="B1194" s="241">
        <v>4.3</v>
      </c>
      <c r="C1194" s="42">
        <f t="shared" si="18"/>
        <v>1176</v>
      </c>
    </row>
    <row r="1195" spans="1:3" x14ac:dyDescent="0.25">
      <c r="A1195" s="198">
        <v>44399</v>
      </c>
      <c r="B1195" s="241">
        <v>4.33</v>
      </c>
      <c r="C1195" s="42">
        <f t="shared" si="18"/>
        <v>1177</v>
      </c>
    </row>
    <row r="1196" spans="1:3" x14ac:dyDescent="0.25">
      <c r="A1196" s="198">
        <v>44406</v>
      </c>
      <c r="B1196" s="241">
        <v>4.3499999999999996</v>
      </c>
      <c r="C1196" s="42">
        <f t="shared" si="18"/>
        <v>1178</v>
      </c>
    </row>
    <row r="1197" spans="1:3" x14ac:dyDescent="0.25">
      <c r="A1197" s="198">
        <v>44413</v>
      </c>
      <c r="B1197" s="241">
        <v>4.33</v>
      </c>
      <c r="C1197" s="42">
        <f t="shared" si="18"/>
        <v>1179</v>
      </c>
    </row>
    <row r="1198" spans="1:3" x14ac:dyDescent="0.25">
      <c r="A1198" s="198">
        <v>44420</v>
      </c>
      <c r="B1198" s="241">
        <v>4.5</v>
      </c>
      <c r="C1198" s="42">
        <f t="shared" si="18"/>
        <v>1180</v>
      </c>
    </row>
    <row r="1199" spans="1:3" x14ac:dyDescent="0.25">
      <c r="A1199" s="198">
        <v>44427</v>
      </c>
      <c r="B1199" s="241">
        <v>4.5</v>
      </c>
      <c r="C1199" s="42">
        <f t="shared" si="18"/>
        <v>1181</v>
      </c>
    </row>
    <row r="1200" spans="1:3" x14ac:dyDescent="0.25">
      <c r="A1200" s="198">
        <v>44434</v>
      </c>
      <c r="B1200" s="241">
        <v>4.49</v>
      </c>
      <c r="C1200" s="42">
        <f t="shared" si="18"/>
        <v>1182</v>
      </c>
    </row>
    <row r="1201" spans="1:3" x14ac:dyDescent="0.25">
      <c r="A1201" s="198">
        <v>44441</v>
      </c>
      <c r="B1201" s="241">
        <v>4.3899999999999997</v>
      </c>
      <c r="C1201" s="42">
        <f t="shared" si="18"/>
        <v>1183</v>
      </c>
    </row>
    <row r="1202" spans="1:3" x14ac:dyDescent="0.25">
      <c r="A1202" s="198">
        <v>44448</v>
      </c>
      <c r="B1202" s="241">
        <v>4.49</v>
      </c>
      <c r="C1202" s="42">
        <f t="shared" si="18"/>
        <v>1184</v>
      </c>
    </row>
    <row r="1203" spans="1:3" x14ac:dyDescent="0.25">
      <c r="A1203" s="198">
        <v>44454</v>
      </c>
      <c r="B1203" s="241">
        <v>4.5999999999999996</v>
      </c>
      <c r="C1203" s="42">
        <f t="shared" si="18"/>
        <v>1185</v>
      </c>
    </row>
    <row r="1204" spans="1:3" x14ac:dyDescent="0.25">
      <c r="A1204" s="198">
        <v>44462</v>
      </c>
      <c r="B1204" s="241">
        <v>4.58</v>
      </c>
      <c r="C1204" s="42">
        <f t="shared" si="18"/>
        <v>1186</v>
      </c>
    </row>
    <row r="1205" spans="1:3" x14ac:dyDescent="0.25">
      <c r="A1205" s="198">
        <v>44469</v>
      </c>
      <c r="B1205" s="241">
        <v>4.6900000000000004</v>
      </c>
      <c r="C1205" s="42">
        <f t="shared" si="18"/>
        <v>1187</v>
      </c>
    </row>
    <row r="1206" spans="1:3" x14ac:dyDescent="0.25">
      <c r="A1206" s="198">
        <v>44476</v>
      </c>
      <c r="B1206" s="241">
        <v>4.8099999999999996</v>
      </c>
      <c r="C1206" s="42">
        <f t="shared" si="18"/>
        <v>1188</v>
      </c>
    </row>
    <row r="1207" spans="1:3" x14ac:dyDescent="0.25">
      <c r="A1207" s="198">
        <v>44483</v>
      </c>
      <c r="B1207" s="241">
        <v>4.79</v>
      </c>
      <c r="C1207" s="42">
        <f t="shared" si="18"/>
        <v>1189</v>
      </c>
    </row>
    <row r="1208" spans="1:3" x14ac:dyDescent="0.25">
      <c r="A1208" s="198">
        <v>44490</v>
      </c>
      <c r="B1208" s="241">
        <v>4.83</v>
      </c>
      <c r="C1208" s="42">
        <f t="shared" si="18"/>
        <v>1190</v>
      </c>
    </row>
    <row r="1209" spans="1:3" x14ac:dyDescent="0.25">
      <c r="A1209" s="198">
        <v>44497</v>
      </c>
      <c r="B1209" s="241">
        <v>4.93</v>
      </c>
      <c r="C1209" s="42">
        <f t="shared" si="18"/>
        <v>1191</v>
      </c>
    </row>
    <row r="1210" spans="1:3" x14ac:dyDescent="0.25">
      <c r="A1210" s="198">
        <v>44504</v>
      </c>
      <c r="B1210" s="241">
        <v>5</v>
      </c>
      <c r="C1210" s="42">
        <f t="shared" si="18"/>
        <v>1192</v>
      </c>
    </row>
    <row r="1211" spans="1:3" x14ac:dyDescent="0.25">
      <c r="A1211" s="198">
        <v>44511</v>
      </c>
      <c r="B1211" s="241">
        <v>5.14</v>
      </c>
      <c r="C1211" s="42">
        <f t="shared" si="18"/>
        <v>1193</v>
      </c>
    </row>
    <row r="1212" spans="1:3" x14ac:dyDescent="0.25">
      <c r="A1212" s="198">
        <v>44518</v>
      </c>
      <c r="B1212" s="241">
        <v>5</v>
      </c>
      <c r="C1212" s="42">
        <f t="shared" si="18"/>
        <v>1194</v>
      </c>
    </row>
    <row r="1213" spans="1:3" x14ac:dyDescent="0.25">
      <c r="A1213" s="198">
        <v>44525</v>
      </c>
      <c r="B1213" s="241">
        <v>5.05</v>
      </c>
      <c r="C1213" s="42">
        <f t="shared" si="18"/>
        <v>1195</v>
      </c>
    </row>
    <row r="1214" spans="1:3" x14ac:dyDescent="0.25">
      <c r="A1214" s="198">
        <v>44532</v>
      </c>
      <c r="B1214" s="241">
        <v>5.0999999999999996</v>
      </c>
      <c r="C1214" s="42">
        <f t="shared" si="18"/>
        <v>1196</v>
      </c>
    </row>
    <row r="1215" spans="1:3" x14ac:dyDescent="0.25">
      <c r="A1215" s="198">
        <v>44539</v>
      </c>
      <c r="B1215" s="241">
        <v>5.2</v>
      </c>
      <c r="C1215" s="42">
        <f t="shared" si="18"/>
        <v>1197</v>
      </c>
    </row>
    <row r="1216" spans="1:3" x14ac:dyDescent="0.25">
      <c r="A1216" s="198">
        <v>44546</v>
      </c>
      <c r="B1216" s="241">
        <v>5.2</v>
      </c>
      <c r="C1216" s="42">
        <f t="shared" si="18"/>
        <v>1198</v>
      </c>
    </row>
    <row r="1217" spans="1:3" x14ac:dyDescent="0.25">
      <c r="A1217" s="198">
        <v>44553</v>
      </c>
      <c r="B1217" s="241">
        <v>5.45</v>
      </c>
      <c r="C1217" s="42">
        <f t="shared" si="18"/>
        <v>1199</v>
      </c>
    </row>
    <row r="1218" spans="1:3" x14ac:dyDescent="0.25">
      <c r="A1218" s="198">
        <v>44560</v>
      </c>
      <c r="B1218" s="241">
        <v>5.49</v>
      </c>
      <c r="C1218" s="42">
        <f t="shared" si="18"/>
        <v>1200</v>
      </c>
    </row>
    <row r="1219" spans="1:3" x14ac:dyDescent="0.25">
      <c r="A1219" s="198">
        <v>44567</v>
      </c>
      <c r="B1219" s="241">
        <v>5.51</v>
      </c>
      <c r="C1219" s="42">
        <f t="shared" si="18"/>
        <v>1201</v>
      </c>
    </row>
    <row r="1220" spans="1:3" x14ac:dyDescent="0.25">
      <c r="A1220" s="198">
        <v>44574</v>
      </c>
      <c r="B1220" s="241">
        <v>5.52</v>
      </c>
      <c r="C1220" s="42">
        <f t="shared" si="18"/>
        <v>1202</v>
      </c>
    </row>
    <row r="1221" spans="1:3" x14ac:dyDescent="0.25">
      <c r="A1221" s="198">
        <v>44581</v>
      </c>
      <c r="B1221" s="241">
        <v>5.57</v>
      </c>
      <c r="C1221" s="42">
        <f t="shared" si="18"/>
        <v>1203</v>
      </c>
    </row>
    <row r="1222" spans="1:3" x14ac:dyDescent="0.25">
      <c r="A1222" s="198">
        <v>44588</v>
      </c>
      <c r="B1222" s="241">
        <v>5.5</v>
      </c>
      <c r="C1222" s="42">
        <f t="shared" si="18"/>
        <v>1204</v>
      </c>
    </row>
    <row r="1223" spans="1:3" x14ac:dyDescent="0.25">
      <c r="A1223" s="198">
        <v>44595</v>
      </c>
      <c r="B1223" s="241">
        <v>5.84</v>
      </c>
      <c r="C1223" s="42">
        <f t="shared" si="18"/>
        <v>1205</v>
      </c>
    </row>
    <row r="1224" spans="1:3" x14ac:dyDescent="0.25">
      <c r="A1224" s="198">
        <v>44602</v>
      </c>
      <c r="B1224" s="241">
        <v>5.75</v>
      </c>
      <c r="C1224" s="42">
        <f t="shared" si="18"/>
        <v>1206</v>
      </c>
    </row>
    <row r="1225" spans="1:3" x14ac:dyDescent="0.25">
      <c r="A1225" s="198">
        <v>44609</v>
      </c>
      <c r="B1225" s="241">
        <v>5.95</v>
      </c>
      <c r="C1225" s="42">
        <f t="shared" si="18"/>
        <v>1207</v>
      </c>
    </row>
    <row r="1226" spans="1:3" x14ac:dyDescent="0.25">
      <c r="A1226" s="198">
        <v>44616</v>
      </c>
      <c r="B1226" s="241">
        <v>5.94</v>
      </c>
      <c r="C1226" s="42">
        <f t="shared" si="18"/>
        <v>1208</v>
      </c>
    </row>
    <row r="1227" spans="1:3" x14ac:dyDescent="0.25">
      <c r="A1227" s="198">
        <v>44623</v>
      </c>
      <c r="B1227" s="241">
        <v>6.06</v>
      </c>
      <c r="C1227" s="42">
        <f t="shared" si="18"/>
        <v>1209</v>
      </c>
    </row>
    <row r="1228" spans="1:3" x14ac:dyDescent="0.25">
      <c r="A1228" s="198">
        <v>44630</v>
      </c>
      <c r="B1228" s="241">
        <v>6.15</v>
      </c>
      <c r="C1228" s="42">
        <f t="shared" si="18"/>
        <v>1210</v>
      </c>
    </row>
    <row r="1229" spans="1:3" x14ac:dyDescent="0.25">
      <c r="A1229" s="198">
        <v>44637</v>
      </c>
      <c r="B1229" s="241">
        <v>6.33</v>
      </c>
      <c r="C1229" s="42">
        <f t="shared" si="18"/>
        <v>1211</v>
      </c>
    </row>
    <row r="1230" spans="1:3" x14ac:dyDescent="0.25">
      <c r="A1230" s="198">
        <v>44644</v>
      </c>
      <c r="B1230" s="241">
        <v>6.49</v>
      </c>
      <c r="C1230" s="42">
        <f t="shared" si="18"/>
        <v>1212</v>
      </c>
    </row>
    <row r="1231" spans="1:3" x14ac:dyDescent="0.25">
      <c r="A1231" s="198">
        <v>44651</v>
      </c>
      <c r="B1231" s="241">
        <v>6.52</v>
      </c>
      <c r="C1231" s="42">
        <f t="shared" si="18"/>
        <v>1213</v>
      </c>
    </row>
    <row r="1232" spans="1:3" x14ac:dyDescent="0.25">
      <c r="A1232" s="198">
        <v>44658</v>
      </c>
      <c r="B1232" s="241">
        <v>6.52</v>
      </c>
      <c r="C1232" s="42">
        <f t="shared" si="18"/>
        <v>1214</v>
      </c>
    </row>
    <row r="1233" spans="1:3" x14ac:dyDescent="0.25">
      <c r="A1233" s="198">
        <v>44664</v>
      </c>
      <c r="B1233" s="241">
        <v>6.52</v>
      </c>
      <c r="C1233" s="42">
        <f t="shared" si="18"/>
        <v>1215</v>
      </c>
    </row>
    <row r="1234" spans="1:3" x14ac:dyDescent="0.25">
      <c r="A1234" s="198">
        <v>44672</v>
      </c>
      <c r="B1234" s="241">
        <v>6.5</v>
      </c>
      <c r="C1234" s="42">
        <f t="shared" si="18"/>
        <v>1216</v>
      </c>
    </row>
    <row r="1235" spans="1:3" x14ac:dyDescent="0.25">
      <c r="A1235" s="198">
        <v>44679</v>
      </c>
      <c r="B1235" s="241">
        <v>6.68</v>
      </c>
      <c r="C1235" s="42">
        <f t="shared" si="18"/>
        <v>1217</v>
      </c>
    </row>
    <row r="1236" spans="1:3" x14ac:dyDescent="0.25">
      <c r="A1236" s="198">
        <v>44686</v>
      </c>
      <c r="B1236" s="241">
        <v>6.85</v>
      </c>
      <c r="C1236" s="42">
        <f t="shared" si="18"/>
        <v>1218</v>
      </c>
    </row>
    <row r="1237" spans="1:3" x14ac:dyDescent="0.25">
      <c r="A1237" s="198">
        <v>44693</v>
      </c>
      <c r="B1237" s="241">
        <v>6.97</v>
      </c>
      <c r="C1237" s="42">
        <f t="shared" ref="C1237:C1300" si="19">+C1236+1</f>
        <v>1219</v>
      </c>
    </row>
    <row r="1238" spans="1:3" x14ac:dyDescent="0.25">
      <c r="A1238" s="198">
        <v>44700</v>
      </c>
      <c r="B1238" s="241">
        <v>6.93</v>
      </c>
      <c r="C1238" s="42">
        <f t="shared" si="19"/>
        <v>1220</v>
      </c>
    </row>
    <row r="1239" spans="1:3" x14ac:dyDescent="0.25">
      <c r="A1239" s="198">
        <v>44707</v>
      </c>
      <c r="B1239" s="241">
        <v>6.9</v>
      </c>
      <c r="C1239" s="42">
        <f t="shared" si="19"/>
        <v>1221</v>
      </c>
    </row>
    <row r="1240" spans="1:3" x14ac:dyDescent="0.25">
      <c r="A1240" s="198">
        <v>44714</v>
      </c>
      <c r="B1240" s="241">
        <v>7.01</v>
      </c>
      <c r="C1240" s="42">
        <f t="shared" si="19"/>
        <v>1222</v>
      </c>
    </row>
    <row r="1241" spans="1:3" x14ac:dyDescent="0.25">
      <c r="A1241" s="198">
        <v>44721</v>
      </c>
      <c r="B1241" s="241">
        <v>7.32</v>
      </c>
      <c r="C1241" s="42">
        <f t="shared" si="19"/>
        <v>1223</v>
      </c>
    </row>
    <row r="1242" spans="1:3" x14ac:dyDescent="0.25">
      <c r="A1242" s="198">
        <v>44728</v>
      </c>
      <c r="B1242" s="241">
        <v>7.15</v>
      </c>
      <c r="C1242" s="42">
        <f t="shared" si="19"/>
        <v>1224</v>
      </c>
    </row>
    <row r="1243" spans="1:3" x14ac:dyDescent="0.25">
      <c r="A1243" s="198">
        <v>44735</v>
      </c>
      <c r="B1243" s="241">
        <v>7.5</v>
      </c>
      <c r="C1243" s="42">
        <f t="shared" si="19"/>
        <v>1225</v>
      </c>
    </row>
    <row r="1244" spans="1:3" x14ac:dyDescent="0.25">
      <c r="A1244" s="198">
        <v>44742</v>
      </c>
      <c r="B1244" s="241">
        <v>7.56</v>
      </c>
      <c r="C1244" s="42">
        <f t="shared" si="19"/>
        <v>1226</v>
      </c>
    </row>
    <row r="1245" spans="1:3" x14ac:dyDescent="0.25">
      <c r="A1245" s="198">
        <v>44749</v>
      </c>
      <c r="B1245" s="241">
        <v>7.7</v>
      </c>
      <c r="C1245" s="42">
        <f t="shared" si="19"/>
        <v>1227</v>
      </c>
    </row>
    <row r="1246" spans="1:3" x14ac:dyDescent="0.25">
      <c r="A1246" s="198">
        <v>44756</v>
      </c>
      <c r="B1246" s="241">
        <v>7.55</v>
      </c>
      <c r="C1246" s="42">
        <f t="shared" si="19"/>
        <v>1228</v>
      </c>
    </row>
    <row r="1247" spans="1:3" x14ac:dyDescent="0.25">
      <c r="A1247" s="198">
        <v>44763</v>
      </c>
      <c r="B1247" s="241">
        <v>7.74</v>
      </c>
      <c r="C1247" s="42">
        <f t="shared" si="19"/>
        <v>1229</v>
      </c>
    </row>
    <row r="1248" spans="1:3" x14ac:dyDescent="0.25">
      <c r="A1248" s="198">
        <v>44770</v>
      </c>
      <c r="B1248" s="241">
        <v>8.0500000000000007</v>
      </c>
      <c r="C1248" s="42">
        <f t="shared" si="19"/>
        <v>1230</v>
      </c>
    </row>
    <row r="1249" spans="1:3" x14ac:dyDescent="0.25">
      <c r="A1249" s="198">
        <v>44777</v>
      </c>
      <c r="B1249" s="241">
        <v>8.01</v>
      </c>
      <c r="C1249" s="42">
        <f t="shared" si="19"/>
        <v>1231</v>
      </c>
    </row>
    <row r="1250" spans="1:3" x14ac:dyDescent="0.25">
      <c r="A1250" s="198">
        <v>44784</v>
      </c>
      <c r="B1250" s="241">
        <v>8.3000000000000007</v>
      </c>
      <c r="C1250" s="42">
        <f t="shared" si="19"/>
        <v>1232</v>
      </c>
    </row>
    <row r="1251" spans="1:3" x14ac:dyDescent="0.25">
      <c r="A1251" s="198">
        <v>44791</v>
      </c>
      <c r="B1251" s="241">
        <v>8.35</v>
      </c>
      <c r="C1251" s="42">
        <f t="shared" si="19"/>
        <v>1233</v>
      </c>
    </row>
    <row r="1252" spans="1:3" x14ac:dyDescent="0.25">
      <c r="A1252" s="198">
        <v>44798</v>
      </c>
      <c r="B1252" s="241">
        <v>8.35</v>
      </c>
      <c r="C1252" s="42">
        <f t="shared" si="19"/>
        <v>1234</v>
      </c>
    </row>
    <row r="1253" spans="1:3" x14ac:dyDescent="0.25">
      <c r="A1253" s="198">
        <v>44805</v>
      </c>
      <c r="B1253" s="241">
        <v>8.35</v>
      </c>
      <c r="C1253" s="42">
        <f t="shared" si="19"/>
        <v>1235</v>
      </c>
    </row>
    <row r="1254" spans="1:3" x14ac:dyDescent="0.25">
      <c r="A1254" s="198">
        <v>44812</v>
      </c>
      <c r="B1254" s="241">
        <v>8.5500000000000007</v>
      </c>
      <c r="C1254" s="42">
        <f t="shared" si="19"/>
        <v>1236</v>
      </c>
    </row>
    <row r="1255" spans="1:3" x14ac:dyDescent="0.25">
      <c r="A1255" s="198">
        <v>44819</v>
      </c>
      <c r="B1255" s="241">
        <v>8.75</v>
      </c>
      <c r="C1255" s="42">
        <f t="shared" si="19"/>
        <v>1237</v>
      </c>
    </row>
    <row r="1256" spans="1:3" x14ac:dyDescent="0.25">
      <c r="A1256" s="198">
        <v>44826</v>
      </c>
      <c r="B1256" s="241">
        <v>8.61</v>
      </c>
      <c r="C1256" s="42">
        <f t="shared" si="19"/>
        <v>1238</v>
      </c>
    </row>
    <row r="1257" spans="1:3" x14ac:dyDescent="0.25">
      <c r="A1257" s="198">
        <v>44833</v>
      </c>
      <c r="B1257" s="241">
        <v>9.25</v>
      </c>
      <c r="C1257" s="42">
        <f t="shared" si="19"/>
        <v>1239</v>
      </c>
    </row>
    <row r="1258" spans="1:3" x14ac:dyDescent="0.25">
      <c r="A1258" s="198">
        <v>44840</v>
      </c>
      <c r="B1258" s="241">
        <v>9</v>
      </c>
      <c r="C1258" s="42">
        <f t="shared" si="19"/>
        <v>1240</v>
      </c>
    </row>
    <row r="1259" spans="1:3" x14ac:dyDescent="0.25">
      <c r="A1259" s="198">
        <v>44847</v>
      </c>
      <c r="B1259" s="241">
        <v>8.9</v>
      </c>
      <c r="C1259" s="42">
        <f t="shared" si="19"/>
        <v>1241</v>
      </c>
    </row>
    <row r="1260" spans="1:3" x14ac:dyDescent="0.25">
      <c r="A1260" s="198">
        <v>44854</v>
      </c>
      <c r="B1260" s="241">
        <v>8.8000000000000007</v>
      </c>
      <c r="C1260" s="42">
        <f t="shared" si="19"/>
        <v>1242</v>
      </c>
    </row>
    <row r="1261" spans="1:3" x14ac:dyDescent="0.25">
      <c r="A1261" s="198">
        <v>44861</v>
      </c>
      <c r="B1261" s="241">
        <v>9</v>
      </c>
      <c r="C1261" s="42">
        <f t="shared" si="19"/>
        <v>1243</v>
      </c>
    </row>
    <row r="1262" spans="1:3" x14ac:dyDescent="0.25">
      <c r="A1262" s="198">
        <v>44868</v>
      </c>
      <c r="B1262" s="241">
        <v>9.4</v>
      </c>
      <c r="C1262" s="42">
        <f t="shared" si="19"/>
        <v>1244</v>
      </c>
    </row>
    <row r="1263" spans="1:3" x14ac:dyDescent="0.25">
      <c r="A1263" s="198">
        <v>44875</v>
      </c>
      <c r="B1263" s="241">
        <v>9.19</v>
      </c>
      <c r="C1263" s="42">
        <f t="shared" si="19"/>
        <v>1245</v>
      </c>
    </row>
    <row r="1264" spans="1:3" x14ac:dyDescent="0.25">
      <c r="A1264" s="198">
        <v>44882</v>
      </c>
      <c r="B1264" s="241">
        <v>9.3699999999999992</v>
      </c>
      <c r="C1264" s="42">
        <f t="shared" si="19"/>
        <v>1246</v>
      </c>
    </row>
    <row r="1265" spans="1:3" x14ac:dyDescent="0.25">
      <c r="A1265" s="198">
        <v>44889</v>
      </c>
      <c r="B1265" s="241">
        <v>9.6999999999999993</v>
      </c>
      <c r="C1265" s="42">
        <f t="shared" si="19"/>
        <v>1247</v>
      </c>
    </row>
    <row r="1266" spans="1:3" x14ac:dyDescent="0.25">
      <c r="A1266" s="198">
        <v>44896</v>
      </c>
      <c r="B1266" s="241">
        <v>9.68</v>
      </c>
      <c r="C1266" s="42">
        <f t="shared" si="19"/>
        <v>1248</v>
      </c>
    </row>
    <row r="1267" spans="1:3" x14ac:dyDescent="0.25">
      <c r="A1267" s="198">
        <v>44903</v>
      </c>
      <c r="B1267" s="241">
        <v>10</v>
      </c>
      <c r="C1267" s="42">
        <f t="shared" si="19"/>
        <v>1249</v>
      </c>
    </row>
    <row r="1268" spans="1:3" x14ac:dyDescent="0.25">
      <c r="A1268" s="198">
        <v>44910</v>
      </c>
      <c r="B1268" s="241">
        <v>9.8000000000000007</v>
      </c>
      <c r="C1268" s="42">
        <f t="shared" si="19"/>
        <v>1250</v>
      </c>
    </row>
    <row r="1269" spans="1:3" x14ac:dyDescent="0.25">
      <c r="A1269" s="198">
        <v>44917</v>
      </c>
      <c r="B1269" s="241">
        <v>10.199999999999999</v>
      </c>
      <c r="C1269" s="42">
        <f t="shared" si="19"/>
        <v>1251</v>
      </c>
    </row>
    <row r="1270" spans="1:3" x14ac:dyDescent="0.25">
      <c r="A1270" s="198">
        <v>44924</v>
      </c>
      <c r="B1270" s="241">
        <v>10.1</v>
      </c>
      <c r="C1270" s="42">
        <f t="shared" si="19"/>
        <v>1252</v>
      </c>
    </row>
    <row r="1271" spans="1:3" x14ac:dyDescent="0.25">
      <c r="A1271" s="198">
        <v>44931</v>
      </c>
      <c r="B1271" s="241">
        <v>10.49</v>
      </c>
      <c r="C1271" s="42">
        <f t="shared" si="19"/>
        <v>1253</v>
      </c>
    </row>
    <row r="1272" spans="1:3" x14ac:dyDescent="0.25">
      <c r="A1272" s="198">
        <v>44938</v>
      </c>
      <c r="B1272" s="241">
        <v>10.46</v>
      </c>
      <c r="C1272" s="42">
        <f t="shared" si="19"/>
        <v>1254</v>
      </c>
    </row>
    <row r="1273" spans="1:3" x14ac:dyDescent="0.25">
      <c r="A1273" s="198">
        <v>44945</v>
      </c>
      <c r="B1273" s="241">
        <v>10.7</v>
      </c>
      <c r="C1273" s="42">
        <f t="shared" si="19"/>
        <v>1255</v>
      </c>
    </row>
    <row r="1274" spans="1:3" x14ac:dyDescent="0.25">
      <c r="A1274" s="198">
        <v>44952</v>
      </c>
      <c r="B1274" s="241">
        <v>10.8</v>
      </c>
      <c r="C1274" s="42">
        <f t="shared" si="19"/>
        <v>1256</v>
      </c>
    </row>
    <row r="1275" spans="1:3" x14ac:dyDescent="0.25">
      <c r="A1275" s="198">
        <v>44959</v>
      </c>
      <c r="B1275" s="241">
        <v>10.78</v>
      </c>
      <c r="C1275" s="42">
        <f t="shared" si="19"/>
        <v>1257</v>
      </c>
    </row>
    <row r="1276" spans="1:3" x14ac:dyDescent="0.25">
      <c r="A1276" s="198">
        <v>44966</v>
      </c>
      <c r="B1276" s="241">
        <v>10.82</v>
      </c>
      <c r="C1276" s="42">
        <f t="shared" si="19"/>
        <v>1258</v>
      </c>
    </row>
    <row r="1277" spans="1:3" x14ac:dyDescent="0.25">
      <c r="A1277" s="198">
        <v>44973</v>
      </c>
      <c r="B1277" s="241">
        <v>11.05</v>
      </c>
      <c r="C1277" s="42">
        <f t="shared" si="19"/>
        <v>1259</v>
      </c>
    </row>
    <row r="1278" spans="1:3" x14ac:dyDescent="0.25">
      <c r="A1278" s="198">
        <v>44980</v>
      </c>
      <c r="B1278" s="241">
        <v>11.04</v>
      </c>
      <c r="C1278" s="42">
        <f t="shared" si="19"/>
        <v>1260</v>
      </c>
    </row>
    <row r="1279" spans="1:3" x14ac:dyDescent="0.25">
      <c r="A1279" s="198">
        <v>44987</v>
      </c>
      <c r="B1279" s="241">
        <v>11.05</v>
      </c>
      <c r="C1279" s="42">
        <f t="shared" si="19"/>
        <v>1261</v>
      </c>
    </row>
    <row r="1280" spans="1:3" x14ac:dyDescent="0.25">
      <c r="A1280" s="198">
        <v>44994</v>
      </c>
      <c r="B1280" s="241">
        <v>11.19</v>
      </c>
      <c r="C1280" s="42">
        <f t="shared" si="19"/>
        <v>1262</v>
      </c>
    </row>
    <row r="1281" spans="1:5" x14ac:dyDescent="0.25">
      <c r="A1281" s="198">
        <v>45001</v>
      </c>
      <c r="B1281" s="241">
        <v>11.3</v>
      </c>
      <c r="C1281" s="42">
        <f t="shared" si="19"/>
        <v>1263</v>
      </c>
    </row>
    <row r="1282" spans="1:5" x14ac:dyDescent="0.25">
      <c r="A1282" s="198">
        <v>45008</v>
      </c>
      <c r="B1282" s="241">
        <v>11.28</v>
      </c>
      <c r="C1282" s="42">
        <f t="shared" si="19"/>
        <v>1264</v>
      </c>
    </row>
    <row r="1283" spans="1:5" x14ac:dyDescent="0.25">
      <c r="A1283" s="198">
        <v>45015</v>
      </c>
      <c r="B1283" s="241">
        <v>11.34</v>
      </c>
      <c r="C1283" s="42">
        <f t="shared" si="19"/>
        <v>1265</v>
      </c>
    </row>
    <row r="1284" spans="1:5" x14ac:dyDescent="0.25">
      <c r="A1284" s="198">
        <v>45021</v>
      </c>
      <c r="B1284" s="241">
        <v>11.28</v>
      </c>
      <c r="C1284" s="42">
        <f t="shared" si="19"/>
        <v>1266</v>
      </c>
    </row>
    <row r="1285" spans="1:5" x14ac:dyDescent="0.25">
      <c r="A1285" s="198">
        <v>45029</v>
      </c>
      <c r="B1285" s="241">
        <v>11.3</v>
      </c>
      <c r="C1285" s="42">
        <f t="shared" si="19"/>
        <v>1267</v>
      </c>
    </row>
    <row r="1286" spans="1:5" x14ac:dyDescent="0.25">
      <c r="A1286" s="198">
        <v>45036</v>
      </c>
      <c r="B1286" s="241">
        <v>11.3</v>
      </c>
      <c r="C1286" s="42">
        <f t="shared" si="19"/>
        <v>1268</v>
      </c>
    </row>
    <row r="1287" spans="1:5" x14ac:dyDescent="0.25">
      <c r="A1287" s="198">
        <v>45043</v>
      </c>
      <c r="B1287" s="241">
        <v>11.27</v>
      </c>
      <c r="C1287" s="42">
        <f t="shared" si="19"/>
        <v>1269</v>
      </c>
    </row>
    <row r="1288" spans="1:5" x14ac:dyDescent="0.25">
      <c r="A1288" s="198">
        <v>45050</v>
      </c>
      <c r="B1288" s="241">
        <v>11.4</v>
      </c>
      <c r="C1288" s="42">
        <f t="shared" si="19"/>
        <v>1270</v>
      </c>
    </row>
    <row r="1289" spans="1:5" x14ac:dyDescent="0.25">
      <c r="A1289" s="198">
        <v>45057</v>
      </c>
      <c r="B1289" s="241">
        <v>11.39</v>
      </c>
      <c r="C1289" s="42">
        <f t="shared" si="19"/>
        <v>1271</v>
      </c>
    </row>
    <row r="1290" spans="1:5" x14ac:dyDescent="0.25">
      <c r="A1290" s="198">
        <v>45064</v>
      </c>
      <c r="B1290" s="241">
        <v>11.25</v>
      </c>
      <c r="C1290" s="42">
        <f t="shared" si="19"/>
        <v>1272</v>
      </c>
    </row>
    <row r="1291" spans="1:5" x14ac:dyDescent="0.25">
      <c r="A1291" s="198">
        <v>45071</v>
      </c>
      <c r="B1291" s="241">
        <v>11.25</v>
      </c>
      <c r="C1291" s="42">
        <f t="shared" si="19"/>
        <v>1273</v>
      </c>
      <c r="D1291" s="52">
        <v>60</v>
      </c>
      <c r="E1291" s="81">
        <v>43831</v>
      </c>
    </row>
    <row r="1292" spans="1:5" x14ac:dyDescent="0.25">
      <c r="A1292" s="198">
        <v>45078</v>
      </c>
      <c r="B1292" s="241">
        <v>11.2</v>
      </c>
      <c r="C1292" s="42">
        <f t="shared" si="19"/>
        <v>1274</v>
      </c>
      <c r="D1292" s="52">
        <v>59</v>
      </c>
      <c r="E1292" s="81">
        <v>43862</v>
      </c>
    </row>
    <row r="1293" spans="1:5" x14ac:dyDescent="0.25">
      <c r="A1293" s="198">
        <v>45085</v>
      </c>
      <c r="B1293" s="241">
        <v>11.32</v>
      </c>
      <c r="C1293" s="42">
        <f t="shared" si="19"/>
        <v>1275</v>
      </c>
      <c r="D1293" s="52">
        <v>58</v>
      </c>
      <c r="E1293" s="81">
        <v>43891</v>
      </c>
    </row>
    <row r="1294" spans="1:5" x14ac:dyDescent="0.25">
      <c r="A1294" s="198">
        <v>45092</v>
      </c>
      <c r="B1294" s="241">
        <v>11.15</v>
      </c>
      <c r="C1294" s="42">
        <f t="shared" si="19"/>
        <v>1276</v>
      </c>
      <c r="D1294" s="52">
        <v>57</v>
      </c>
      <c r="E1294" s="81">
        <v>43922</v>
      </c>
    </row>
    <row r="1295" spans="1:5" x14ac:dyDescent="0.25">
      <c r="A1295" s="198">
        <v>45099</v>
      </c>
      <c r="B1295" s="241">
        <v>11.09</v>
      </c>
      <c r="C1295" s="42">
        <f t="shared" si="19"/>
        <v>1277</v>
      </c>
      <c r="D1295" s="52">
        <v>56</v>
      </c>
      <c r="E1295" s="81">
        <v>43952</v>
      </c>
    </row>
    <row r="1296" spans="1:5" x14ac:dyDescent="0.25">
      <c r="A1296" s="198">
        <v>45106</v>
      </c>
      <c r="B1296" s="241">
        <v>11.02</v>
      </c>
      <c r="C1296" s="42">
        <f t="shared" si="19"/>
        <v>1278</v>
      </c>
      <c r="D1296" s="52">
        <v>55</v>
      </c>
      <c r="E1296" s="81">
        <v>43983</v>
      </c>
    </row>
    <row r="1297" spans="1:5" x14ac:dyDescent="0.25">
      <c r="A1297" s="198">
        <v>45113</v>
      </c>
      <c r="B1297" s="241">
        <v>11.3</v>
      </c>
      <c r="C1297" s="42">
        <f t="shared" si="19"/>
        <v>1279</v>
      </c>
      <c r="D1297" s="52">
        <v>54</v>
      </c>
      <c r="E1297" s="81">
        <v>44013</v>
      </c>
    </row>
    <row r="1298" spans="1:5" x14ac:dyDescent="0.25">
      <c r="A1298" s="198">
        <v>45120</v>
      </c>
      <c r="B1298" s="241">
        <v>11.29</v>
      </c>
      <c r="C1298" s="42">
        <f t="shared" si="19"/>
        <v>1280</v>
      </c>
      <c r="D1298" s="52">
        <v>53</v>
      </c>
      <c r="E1298" s="81">
        <v>44044</v>
      </c>
    </row>
    <row r="1299" spans="1:5" x14ac:dyDescent="0.25">
      <c r="A1299" s="198">
        <v>45127</v>
      </c>
      <c r="B1299" s="241">
        <v>11.18</v>
      </c>
      <c r="C1299" s="42">
        <f t="shared" si="19"/>
        <v>1281</v>
      </c>
      <c r="D1299" s="52">
        <v>52</v>
      </c>
      <c r="E1299" s="81">
        <v>44075</v>
      </c>
    </row>
    <row r="1300" spans="1:5" x14ac:dyDescent="0.25">
      <c r="A1300" s="198">
        <v>45134</v>
      </c>
      <c r="B1300" s="241">
        <v>11.09</v>
      </c>
      <c r="C1300" s="42">
        <f t="shared" si="19"/>
        <v>1282</v>
      </c>
      <c r="D1300" s="52">
        <v>51</v>
      </c>
      <c r="E1300" s="81">
        <v>44105</v>
      </c>
    </row>
    <row r="1301" spans="1:5" x14ac:dyDescent="0.25">
      <c r="A1301" s="198">
        <v>45141</v>
      </c>
      <c r="B1301" s="241">
        <v>11.28</v>
      </c>
      <c r="C1301" s="42">
        <f t="shared" ref="C1301:C1364" si="20">+C1300+1</f>
        <v>1283</v>
      </c>
      <c r="D1301" s="52">
        <v>50</v>
      </c>
      <c r="E1301" s="81">
        <v>44136</v>
      </c>
    </row>
    <row r="1302" spans="1:5" x14ac:dyDescent="0.25">
      <c r="A1302" s="198">
        <v>45148</v>
      </c>
      <c r="B1302" s="241">
        <v>11.25</v>
      </c>
      <c r="C1302" s="42">
        <f t="shared" si="20"/>
        <v>1284</v>
      </c>
      <c r="D1302" s="52">
        <v>49</v>
      </c>
      <c r="E1302" s="81">
        <v>44166</v>
      </c>
    </row>
    <row r="1303" spans="1:5" x14ac:dyDescent="0.25">
      <c r="A1303" s="198">
        <v>45155</v>
      </c>
      <c r="B1303" s="241">
        <v>11.26</v>
      </c>
      <c r="C1303" s="42">
        <f t="shared" si="20"/>
        <v>1285</v>
      </c>
      <c r="D1303" s="52">
        <v>48</v>
      </c>
      <c r="E1303" s="81">
        <v>44197</v>
      </c>
    </row>
    <row r="1304" spans="1:5" x14ac:dyDescent="0.25">
      <c r="A1304" s="198">
        <v>45162</v>
      </c>
      <c r="B1304" s="241">
        <v>10.96</v>
      </c>
      <c r="C1304" s="42">
        <f t="shared" si="20"/>
        <v>1286</v>
      </c>
      <c r="D1304" s="52">
        <v>47</v>
      </c>
      <c r="E1304" s="81">
        <v>44228</v>
      </c>
    </row>
    <row r="1305" spans="1:5" x14ac:dyDescent="0.25">
      <c r="A1305" s="198">
        <v>45169</v>
      </c>
      <c r="B1305" s="241">
        <v>11.07</v>
      </c>
      <c r="C1305" s="42">
        <f t="shared" si="20"/>
        <v>1287</v>
      </c>
      <c r="D1305" s="52">
        <v>46</v>
      </c>
      <c r="E1305" s="81">
        <v>44256</v>
      </c>
    </row>
    <row r="1306" spans="1:5" x14ac:dyDescent="0.25">
      <c r="A1306" s="198">
        <v>45176</v>
      </c>
      <c r="B1306" s="241">
        <v>11</v>
      </c>
      <c r="C1306" s="42">
        <f t="shared" si="20"/>
        <v>1288</v>
      </c>
      <c r="D1306" s="52">
        <v>45</v>
      </c>
      <c r="E1306" s="81">
        <v>44287</v>
      </c>
    </row>
    <row r="1307" spans="1:5" x14ac:dyDescent="0.25">
      <c r="A1307" s="198">
        <v>45183</v>
      </c>
      <c r="B1307" s="241">
        <v>11.25</v>
      </c>
      <c r="C1307" s="42">
        <f t="shared" si="20"/>
        <v>1289</v>
      </c>
      <c r="D1307" s="52">
        <v>44</v>
      </c>
      <c r="E1307" s="81">
        <v>44317</v>
      </c>
    </row>
    <row r="1308" spans="1:5" x14ac:dyDescent="0.25">
      <c r="A1308" s="198">
        <v>45190</v>
      </c>
      <c r="B1308" s="241">
        <v>11</v>
      </c>
      <c r="C1308" s="42">
        <f t="shared" si="20"/>
        <v>1290</v>
      </c>
      <c r="D1308" s="52">
        <v>43</v>
      </c>
      <c r="E1308" s="81">
        <v>44348</v>
      </c>
    </row>
    <row r="1309" spans="1:5" x14ac:dyDescent="0.25">
      <c r="A1309" s="198">
        <v>45197</v>
      </c>
      <c r="B1309" s="241">
        <v>11.05</v>
      </c>
      <c r="C1309" s="42">
        <f t="shared" si="20"/>
        <v>1291</v>
      </c>
      <c r="D1309" s="52">
        <v>42</v>
      </c>
      <c r="E1309" s="81">
        <v>44378</v>
      </c>
    </row>
    <row r="1310" spans="1:5" x14ac:dyDescent="0.25">
      <c r="A1310" s="198">
        <v>45204</v>
      </c>
      <c r="B1310" s="241">
        <v>11.05</v>
      </c>
      <c r="C1310" s="42">
        <f t="shared" si="20"/>
        <v>1292</v>
      </c>
      <c r="D1310" s="52">
        <v>41</v>
      </c>
      <c r="E1310" s="81">
        <v>44409</v>
      </c>
    </row>
    <row r="1311" spans="1:5" x14ac:dyDescent="0.25">
      <c r="A1311" s="198">
        <v>45211</v>
      </c>
      <c r="B1311" s="241">
        <v>11.05</v>
      </c>
      <c r="C1311" s="42">
        <f t="shared" si="20"/>
        <v>1293</v>
      </c>
      <c r="D1311" s="52">
        <v>40</v>
      </c>
      <c r="E1311" s="81">
        <v>44440</v>
      </c>
    </row>
    <row r="1312" spans="1:5" x14ac:dyDescent="0.25">
      <c r="A1312" s="198">
        <v>45218</v>
      </c>
      <c r="B1312" s="241">
        <v>10.95</v>
      </c>
      <c r="C1312" s="42">
        <f t="shared" si="20"/>
        <v>1294</v>
      </c>
      <c r="D1312" s="52">
        <v>39</v>
      </c>
      <c r="E1312" s="81">
        <v>44470</v>
      </c>
    </row>
    <row r="1313" spans="1:5" x14ac:dyDescent="0.25">
      <c r="A1313" s="198">
        <v>45225</v>
      </c>
      <c r="B1313" s="241">
        <v>11.26</v>
      </c>
      <c r="C1313" s="42">
        <f t="shared" si="20"/>
        <v>1295</v>
      </c>
      <c r="D1313" s="52">
        <v>38</v>
      </c>
      <c r="E1313" s="81">
        <v>44501</v>
      </c>
    </row>
    <row r="1314" spans="1:5" x14ac:dyDescent="0.25">
      <c r="A1314" s="198">
        <v>45231</v>
      </c>
      <c r="B1314" s="241">
        <v>11.09</v>
      </c>
      <c r="C1314" s="42">
        <f t="shared" si="20"/>
        <v>1296</v>
      </c>
      <c r="D1314" s="52">
        <v>37</v>
      </c>
      <c r="E1314" s="81">
        <v>44531</v>
      </c>
    </row>
    <row r="1315" spans="1:5" x14ac:dyDescent="0.25">
      <c r="A1315" s="198">
        <v>45239</v>
      </c>
      <c r="B1315" s="241">
        <v>10.95</v>
      </c>
      <c r="C1315" s="42">
        <f t="shared" si="20"/>
        <v>1297</v>
      </c>
      <c r="D1315" s="52">
        <v>36</v>
      </c>
      <c r="E1315" s="81">
        <v>44562</v>
      </c>
    </row>
    <row r="1316" spans="1:5" x14ac:dyDescent="0.25">
      <c r="A1316" s="198">
        <v>45246</v>
      </c>
      <c r="B1316" s="241">
        <v>10.87</v>
      </c>
      <c r="C1316" s="42">
        <f t="shared" si="20"/>
        <v>1298</v>
      </c>
      <c r="D1316" s="52">
        <v>35</v>
      </c>
      <c r="E1316" s="81">
        <v>44593</v>
      </c>
    </row>
    <row r="1317" spans="1:5" x14ac:dyDescent="0.25">
      <c r="A1317" s="198">
        <v>45253</v>
      </c>
      <c r="B1317" s="241">
        <v>10.75</v>
      </c>
      <c r="C1317" s="42">
        <f t="shared" si="20"/>
        <v>1299</v>
      </c>
      <c r="D1317" s="52">
        <v>34</v>
      </c>
      <c r="E1317" s="81">
        <v>44621</v>
      </c>
    </row>
    <row r="1318" spans="1:5" x14ac:dyDescent="0.25">
      <c r="A1318" s="198">
        <v>45260</v>
      </c>
      <c r="B1318" s="241">
        <v>10.78</v>
      </c>
      <c r="C1318" s="42">
        <f t="shared" si="20"/>
        <v>1300</v>
      </c>
      <c r="D1318" s="52">
        <v>33</v>
      </c>
      <c r="E1318" s="81">
        <v>44652</v>
      </c>
    </row>
    <row r="1319" spans="1:5" x14ac:dyDescent="0.25">
      <c r="A1319" s="198">
        <v>45267</v>
      </c>
      <c r="B1319" s="241">
        <v>11.25</v>
      </c>
      <c r="C1319" s="42">
        <f t="shared" si="20"/>
        <v>1301</v>
      </c>
      <c r="D1319" s="52">
        <v>32</v>
      </c>
      <c r="E1319" s="81">
        <v>44682</v>
      </c>
    </row>
    <row r="1320" spans="1:5" x14ac:dyDescent="0.25">
      <c r="A1320" s="198">
        <v>45274</v>
      </c>
      <c r="B1320" s="241">
        <v>11.25</v>
      </c>
      <c r="C1320" s="42">
        <f t="shared" si="20"/>
        <v>1302</v>
      </c>
      <c r="D1320" s="52">
        <v>31</v>
      </c>
      <c r="E1320" s="81">
        <v>44713</v>
      </c>
    </row>
    <row r="1321" spans="1:5" x14ac:dyDescent="0.25">
      <c r="A1321" s="198">
        <v>45281</v>
      </c>
      <c r="B1321" s="241">
        <v>11.09</v>
      </c>
      <c r="C1321" s="42">
        <f t="shared" si="20"/>
        <v>1303</v>
      </c>
      <c r="D1321" s="52">
        <v>30</v>
      </c>
      <c r="E1321" s="81">
        <v>44743</v>
      </c>
    </row>
    <row r="1322" spans="1:5" x14ac:dyDescent="0.25">
      <c r="A1322" s="198">
        <v>45288</v>
      </c>
      <c r="B1322" s="241">
        <v>11.26</v>
      </c>
      <c r="C1322" s="42">
        <f t="shared" si="20"/>
        <v>1304</v>
      </c>
      <c r="D1322" s="52">
        <v>29</v>
      </c>
      <c r="E1322" s="81">
        <v>44774</v>
      </c>
    </row>
    <row r="1323" spans="1:5" x14ac:dyDescent="0.25">
      <c r="A1323" s="198">
        <v>45295</v>
      </c>
      <c r="B1323" s="241">
        <v>11.3</v>
      </c>
      <c r="C1323" s="42">
        <f t="shared" si="20"/>
        <v>1305</v>
      </c>
      <c r="D1323" s="52">
        <v>28</v>
      </c>
      <c r="E1323" s="81">
        <v>44805</v>
      </c>
    </row>
    <row r="1324" spans="1:5" x14ac:dyDescent="0.25">
      <c r="A1324" s="198">
        <v>45302</v>
      </c>
      <c r="B1324" s="241">
        <v>11.28</v>
      </c>
      <c r="C1324" s="42">
        <f t="shared" si="20"/>
        <v>1306</v>
      </c>
      <c r="D1324" s="52">
        <v>27</v>
      </c>
      <c r="E1324" s="81">
        <v>44835</v>
      </c>
    </row>
    <row r="1325" spans="1:5" x14ac:dyDescent="0.25">
      <c r="A1325" s="198">
        <v>45309</v>
      </c>
      <c r="B1325" s="241">
        <v>11.3</v>
      </c>
      <c r="C1325" s="42">
        <f t="shared" si="20"/>
        <v>1307</v>
      </c>
      <c r="D1325" s="52">
        <v>26</v>
      </c>
      <c r="E1325" s="81">
        <v>44866</v>
      </c>
    </row>
    <row r="1326" spans="1:5" x14ac:dyDescent="0.25">
      <c r="A1326" s="198">
        <v>45316</v>
      </c>
      <c r="B1326" s="241">
        <v>11.28</v>
      </c>
      <c r="C1326" s="42">
        <f t="shared" si="20"/>
        <v>1308</v>
      </c>
      <c r="D1326" s="52">
        <v>25</v>
      </c>
      <c r="E1326" s="81">
        <v>44896</v>
      </c>
    </row>
    <row r="1327" spans="1:5" x14ac:dyDescent="0.25">
      <c r="A1327" s="198">
        <v>45323</v>
      </c>
      <c r="B1327" s="241">
        <v>11.15</v>
      </c>
      <c r="C1327" s="42">
        <f t="shared" si="20"/>
        <v>1309</v>
      </c>
      <c r="D1327" s="52">
        <v>24</v>
      </c>
      <c r="E1327" s="81">
        <v>44927</v>
      </c>
    </row>
    <row r="1328" spans="1:5" x14ac:dyDescent="0.25">
      <c r="A1328" s="198">
        <v>45330</v>
      </c>
      <c r="B1328" s="241">
        <v>11.06</v>
      </c>
      <c r="C1328" s="42">
        <f t="shared" si="20"/>
        <v>1310</v>
      </c>
      <c r="D1328" s="52">
        <v>23</v>
      </c>
      <c r="E1328" s="81">
        <v>44958</v>
      </c>
    </row>
    <row r="1329" spans="1:5" x14ac:dyDescent="0.25">
      <c r="A1329" s="198">
        <v>45337</v>
      </c>
      <c r="B1329" s="241">
        <v>11.05</v>
      </c>
      <c r="C1329" s="42">
        <f t="shared" si="20"/>
        <v>1311</v>
      </c>
      <c r="D1329" s="52">
        <v>22</v>
      </c>
      <c r="E1329" s="81">
        <v>44986</v>
      </c>
    </row>
    <row r="1330" spans="1:5" x14ac:dyDescent="0.25">
      <c r="A1330" s="198">
        <v>45344</v>
      </c>
      <c r="B1330" s="241">
        <v>11</v>
      </c>
      <c r="C1330" s="42">
        <f t="shared" si="20"/>
        <v>1312</v>
      </c>
      <c r="D1330" s="52">
        <v>21</v>
      </c>
      <c r="E1330" s="81">
        <v>45017</v>
      </c>
    </row>
    <row r="1331" spans="1:5" x14ac:dyDescent="0.25">
      <c r="A1331" s="198">
        <v>45351</v>
      </c>
      <c r="B1331" s="241">
        <v>11</v>
      </c>
      <c r="C1331" s="42">
        <f t="shared" si="20"/>
        <v>1313</v>
      </c>
      <c r="D1331" s="52">
        <v>20</v>
      </c>
      <c r="E1331" s="81">
        <v>45047</v>
      </c>
    </row>
    <row r="1332" spans="1:5" x14ac:dyDescent="0.25">
      <c r="A1332" s="198">
        <v>45358</v>
      </c>
      <c r="B1332" s="241">
        <v>11</v>
      </c>
      <c r="C1332" s="42">
        <f t="shared" si="20"/>
        <v>1314</v>
      </c>
      <c r="D1332" s="52">
        <v>19</v>
      </c>
      <c r="E1332" s="81">
        <v>45078</v>
      </c>
    </row>
    <row r="1333" spans="1:5" x14ac:dyDescent="0.25">
      <c r="A1333" s="198">
        <v>45365</v>
      </c>
      <c r="B1333" s="241">
        <v>11.18</v>
      </c>
      <c r="C1333" s="42">
        <f t="shared" si="20"/>
        <v>1315</v>
      </c>
      <c r="D1333" s="52">
        <v>18</v>
      </c>
      <c r="E1333" s="81">
        <v>45108</v>
      </c>
    </row>
    <row r="1334" spans="1:5" x14ac:dyDescent="0.25">
      <c r="A1334" s="198">
        <v>45372</v>
      </c>
      <c r="B1334" s="241">
        <v>10.99</v>
      </c>
      <c r="C1334" s="42">
        <f t="shared" si="20"/>
        <v>1316</v>
      </c>
      <c r="D1334" s="52">
        <v>17</v>
      </c>
      <c r="E1334" s="81">
        <v>45139</v>
      </c>
    </row>
    <row r="1335" spans="1:5" x14ac:dyDescent="0.25">
      <c r="A1335" s="198">
        <v>45378</v>
      </c>
      <c r="B1335" s="241">
        <v>10.9</v>
      </c>
      <c r="C1335" s="42">
        <f t="shared" si="20"/>
        <v>1317</v>
      </c>
      <c r="D1335" s="52">
        <v>16</v>
      </c>
      <c r="E1335" s="81">
        <v>45170</v>
      </c>
    </row>
    <row r="1336" spans="1:5" x14ac:dyDescent="0.25">
      <c r="A1336" s="198">
        <v>45386</v>
      </c>
      <c r="B1336" s="241">
        <v>10.88</v>
      </c>
      <c r="C1336" s="42">
        <f t="shared" si="20"/>
        <v>1318</v>
      </c>
      <c r="D1336" s="52">
        <v>15</v>
      </c>
      <c r="E1336" s="81">
        <v>45200</v>
      </c>
    </row>
    <row r="1337" spans="1:5" x14ac:dyDescent="0.25">
      <c r="A1337" s="198">
        <v>45393</v>
      </c>
      <c r="B1337" s="241">
        <v>10.92</v>
      </c>
      <c r="C1337" s="42">
        <f t="shared" si="20"/>
        <v>1319</v>
      </c>
      <c r="D1337" s="52">
        <v>14</v>
      </c>
      <c r="E1337" s="81">
        <v>45231</v>
      </c>
    </row>
    <row r="1338" spans="1:5" x14ac:dyDescent="0.25">
      <c r="A1338" s="198">
        <v>45400</v>
      </c>
      <c r="B1338" s="241">
        <v>11.04</v>
      </c>
      <c r="C1338" s="42">
        <f t="shared" si="20"/>
        <v>1320</v>
      </c>
      <c r="D1338" s="52">
        <v>13</v>
      </c>
      <c r="E1338" s="81">
        <v>45261</v>
      </c>
    </row>
    <row r="1339" spans="1:5" x14ac:dyDescent="0.25">
      <c r="A1339" s="198">
        <v>45407</v>
      </c>
      <c r="B1339" s="241">
        <v>11.04</v>
      </c>
      <c r="C1339" s="42">
        <f t="shared" si="20"/>
        <v>1321</v>
      </c>
      <c r="D1339" s="52">
        <v>12</v>
      </c>
      <c r="E1339" s="81">
        <v>45292</v>
      </c>
    </row>
    <row r="1340" spans="1:5" x14ac:dyDescent="0.25">
      <c r="A1340" s="198">
        <v>45414</v>
      </c>
      <c r="B1340" s="241">
        <v>10.95</v>
      </c>
      <c r="C1340" s="42">
        <f t="shared" si="20"/>
        <v>1322</v>
      </c>
      <c r="D1340" s="52">
        <v>11</v>
      </c>
      <c r="E1340" s="81">
        <v>45323</v>
      </c>
    </row>
    <row r="1341" spans="1:5" x14ac:dyDescent="0.25">
      <c r="A1341" s="198">
        <v>45421</v>
      </c>
      <c r="B1341" s="241">
        <v>11.03</v>
      </c>
      <c r="C1341" s="42">
        <f t="shared" si="20"/>
        <v>1323</v>
      </c>
      <c r="D1341" s="52">
        <v>10</v>
      </c>
      <c r="E1341" s="81">
        <v>45352</v>
      </c>
    </row>
    <row r="1342" spans="1:5" x14ac:dyDescent="0.25">
      <c r="A1342" s="198">
        <v>45428</v>
      </c>
      <c r="B1342" s="241">
        <v>10.95</v>
      </c>
      <c r="C1342" s="42">
        <f t="shared" si="20"/>
        <v>1324</v>
      </c>
      <c r="D1342" s="52">
        <v>9</v>
      </c>
      <c r="E1342" s="81">
        <v>45383</v>
      </c>
    </row>
    <row r="1343" spans="1:5" x14ac:dyDescent="0.25">
      <c r="A1343" s="198">
        <v>45435</v>
      </c>
      <c r="B1343" s="241">
        <v>11</v>
      </c>
      <c r="C1343" s="42">
        <f t="shared" si="20"/>
        <v>1325</v>
      </c>
      <c r="D1343" s="52">
        <v>8</v>
      </c>
      <c r="E1343" s="81">
        <v>45413</v>
      </c>
    </row>
    <row r="1344" spans="1:5" x14ac:dyDescent="0.25">
      <c r="A1344" s="198">
        <v>45442</v>
      </c>
      <c r="B1344" s="241">
        <v>11.03</v>
      </c>
      <c r="C1344" s="42">
        <f t="shared" si="20"/>
        <v>1326</v>
      </c>
      <c r="D1344" s="52">
        <v>7</v>
      </c>
      <c r="E1344" s="81">
        <v>45444</v>
      </c>
    </row>
    <row r="1345" spans="1:12" x14ac:dyDescent="0.25">
      <c r="A1345" s="198">
        <v>45449</v>
      </c>
      <c r="B1345" s="241">
        <v>11.04</v>
      </c>
      <c r="C1345" s="42">
        <f t="shared" si="20"/>
        <v>1327</v>
      </c>
      <c r="D1345" s="52">
        <v>6</v>
      </c>
      <c r="E1345" s="81">
        <v>45474</v>
      </c>
    </row>
    <row r="1346" spans="1:12" x14ac:dyDescent="0.25">
      <c r="A1346" s="198">
        <v>45456</v>
      </c>
      <c r="B1346" s="241">
        <v>11</v>
      </c>
      <c r="C1346" s="42">
        <f t="shared" si="20"/>
        <v>1328</v>
      </c>
      <c r="D1346" s="52">
        <v>5</v>
      </c>
      <c r="E1346" s="81">
        <v>45505</v>
      </c>
    </row>
    <row r="1347" spans="1:12" x14ac:dyDescent="0.25">
      <c r="A1347" s="198">
        <v>45463</v>
      </c>
      <c r="B1347" s="241">
        <v>10.95</v>
      </c>
      <c r="C1347" s="42">
        <f t="shared" si="20"/>
        <v>1329</v>
      </c>
      <c r="D1347" s="52">
        <v>4</v>
      </c>
      <c r="E1347" s="81">
        <v>45536</v>
      </c>
    </row>
    <row r="1348" spans="1:12" x14ac:dyDescent="0.25">
      <c r="A1348" s="198">
        <v>45470</v>
      </c>
      <c r="B1348" s="241">
        <v>10.88</v>
      </c>
      <c r="C1348" s="42">
        <f t="shared" si="20"/>
        <v>1330</v>
      </c>
      <c r="D1348" s="52">
        <v>3</v>
      </c>
      <c r="E1348" s="81">
        <v>45566</v>
      </c>
    </row>
    <row r="1349" spans="1:12" x14ac:dyDescent="0.25">
      <c r="A1349" s="198">
        <v>45477</v>
      </c>
      <c r="B1349" s="241">
        <v>11.02</v>
      </c>
      <c r="C1349" s="42">
        <f t="shared" si="20"/>
        <v>1331</v>
      </c>
      <c r="D1349" s="52">
        <v>2</v>
      </c>
      <c r="E1349" s="81">
        <v>45597</v>
      </c>
      <c r="G1349" s="42" t="s">
        <v>61</v>
      </c>
      <c r="I1349" s="42" t="s">
        <v>96</v>
      </c>
    </row>
    <row r="1350" spans="1:12" x14ac:dyDescent="0.25">
      <c r="A1350" s="198">
        <v>45484</v>
      </c>
      <c r="B1350" s="241">
        <v>10.9</v>
      </c>
      <c r="C1350" s="42">
        <f t="shared" si="20"/>
        <v>1332</v>
      </c>
      <c r="D1350" s="52">
        <v>1</v>
      </c>
      <c r="E1350" s="81">
        <v>45627</v>
      </c>
      <c r="F1350" s="45">
        <f>E1350</f>
        <v>45627</v>
      </c>
      <c r="G1350" s="51">
        <f>(F1350+30)-(I1350*60)</f>
        <v>43832</v>
      </c>
      <c r="I1350" s="70">
        <f>365/12</f>
        <v>30.416666666666668</v>
      </c>
    </row>
    <row r="1351" spans="1:12" x14ac:dyDescent="0.25">
      <c r="A1351" s="198">
        <v>45491</v>
      </c>
      <c r="B1351" s="241">
        <v>10.89</v>
      </c>
      <c r="C1351" s="42">
        <f t="shared" si="20"/>
        <v>1333</v>
      </c>
      <c r="F1351" s="45"/>
      <c r="G1351" s="42" t="s">
        <v>106</v>
      </c>
    </row>
    <row r="1352" spans="1:12" x14ac:dyDescent="0.25">
      <c r="A1352" s="198">
        <v>45498</v>
      </c>
      <c r="B1352" s="241">
        <v>10.87</v>
      </c>
      <c r="C1352" s="42">
        <f t="shared" si="20"/>
        <v>1334</v>
      </c>
      <c r="G1352" s="51">
        <f>(F1350+31)-(I1350*12)</f>
        <v>45293</v>
      </c>
    </row>
    <row r="1353" spans="1:12" x14ac:dyDescent="0.25">
      <c r="A1353" s="198">
        <v>45505</v>
      </c>
      <c r="B1353" s="241">
        <v>10.97</v>
      </c>
      <c r="C1353" s="42">
        <f t="shared" si="20"/>
        <v>1335</v>
      </c>
      <c r="F1353" s="51"/>
      <c r="G1353" s="42" t="s">
        <v>108</v>
      </c>
    </row>
    <row r="1354" spans="1:12" x14ac:dyDescent="0.25">
      <c r="A1354" s="198">
        <v>45512</v>
      </c>
      <c r="B1354" s="241">
        <v>10.86</v>
      </c>
      <c r="C1354" s="42">
        <f t="shared" si="20"/>
        <v>1336</v>
      </c>
      <c r="G1354" s="51">
        <f>(F1350+30)-(I1350*240)</f>
        <v>38357</v>
      </c>
      <c r="L1354" s="51">
        <f>(F1350+30)</f>
        <v>45657</v>
      </c>
    </row>
    <row r="1355" spans="1:12" x14ac:dyDescent="0.25">
      <c r="A1355" s="198">
        <v>45519</v>
      </c>
      <c r="B1355" s="241">
        <v>10.65</v>
      </c>
      <c r="C1355" s="42">
        <f t="shared" si="20"/>
        <v>1337</v>
      </c>
      <c r="L1355" s="128">
        <f>(I1350*12)</f>
        <v>365</v>
      </c>
    </row>
    <row r="1356" spans="1:12" x14ac:dyDescent="0.25">
      <c r="A1356" s="198">
        <v>45526</v>
      </c>
      <c r="B1356" s="241">
        <v>10.65</v>
      </c>
      <c r="C1356" s="42">
        <f t="shared" si="20"/>
        <v>1338</v>
      </c>
    </row>
    <row r="1357" spans="1:12" x14ac:dyDescent="0.25">
      <c r="A1357" s="198">
        <v>45533</v>
      </c>
      <c r="B1357" s="241">
        <v>10.65</v>
      </c>
      <c r="C1357" s="42">
        <f t="shared" si="20"/>
        <v>1339</v>
      </c>
      <c r="E1357" s="44" t="s">
        <v>107</v>
      </c>
      <c r="F1357" s="3">
        <f>AVERAGE(B1114:B1374)</f>
        <v>7.8352873563218379</v>
      </c>
      <c r="H1357" s="5" t="s">
        <v>19</v>
      </c>
      <c r="I1357" s="6"/>
    </row>
    <row r="1358" spans="1:12" x14ac:dyDescent="0.25">
      <c r="A1358" s="198">
        <v>45540</v>
      </c>
      <c r="B1358" s="241">
        <v>10.51</v>
      </c>
      <c r="C1358" s="42">
        <f t="shared" si="20"/>
        <v>1340</v>
      </c>
      <c r="E1358" s="45">
        <f>+F1350-(60*I1350)</f>
        <v>43802</v>
      </c>
      <c r="F1358" s="45">
        <f>F1370</f>
        <v>45627</v>
      </c>
      <c r="H1358" s="7" t="s">
        <v>20</v>
      </c>
      <c r="I1358" s="8">
        <f>F1357/100</f>
        <v>7.8352873563218378E-2</v>
      </c>
    </row>
    <row r="1359" spans="1:12" x14ac:dyDescent="0.25">
      <c r="A1359" s="198">
        <v>45547</v>
      </c>
      <c r="B1359" s="241">
        <v>10.49</v>
      </c>
      <c r="C1359" s="42">
        <f t="shared" si="20"/>
        <v>1341</v>
      </c>
      <c r="H1359" s="9" t="s">
        <v>21</v>
      </c>
      <c r="I1359" s="10">
        <f>INPC!D331/100</f>
        <v>5.4233074095233924E-2</v>
      </c>
    </row>
    <row r="1360" spans="1:12" x14ac:dyDescent="0.25">
      <c r="A1360" s="198">
        <v>45554</v>
      </c>
      <c r="B1360" s="241">
        <v>10.4</v>
      </c>
      <c r="C1360" s="42">
        <f t="shared" si="20"/>
        <v>1342</v>
      </c>
      <c r="H1360" s="11" t="s">
        <v>22</v>
      </c>
      <c r="I1360" s="12">
        <f>(I1358-I1359)/(1+I1359)</f>
        <v>2.2879000916077877E-2</v>
      </c>
    </row>
    <row r="1361" spans="1:9" x14ac:dyDescent="0.25">
      <c r="A1361" s="198">
        <v>45561</v>
      </c>
      <c r="B1361" s="241">
        <v>10.35</v>
      </c>
      <c r="C1361" s="42">
        <f t="shared" si="20"/>
        <v>1343</v>
      </c>
      <c r="H1361" s="46"/>
      <c r="I1361" s="46"/>
    </row>
    <row r="1362" spans="1:9" x14ac:dyDescent="0.25">
      <c r="A1362" s="198">
        <v>45568</v>
      </c>
      <c r="B1362" s="241">
        <v>10.3</v>
      </c>
      <c r="C1362" s="42">
        <f t="shared" si="20"/>
        <v>1344</v>
      </c>
      <c r="H1362" s="46"/>
      <c r="I1362" s="46"/>
    </row>
    <row r="1363" spans="1:9" x14ac:dyDescent="0.25">
      <c r="A1363" s="198">
        <v>45575</v>
      </c>
      <c r="B1363" s="241">
        <v>10.3</v>
      </c>
      <c r="C1363" s="42">
        <f t="shared" si="20"/>
        <v>1345</v>
      </c>
      <c r="E1363" s="44" t="s">
        <v>18</v>
      </c>
      <c r="F1363" s="3">
        <f>AVERAGE(B1323:B1374)</f>
        <v>10.715576923076922</v>
      </c>
      <c r="H1363" s="5" t="s">
        <v>19</v>
      </c>
      <c r="I1363" s="6"/>
    </row>
    <row r="1364" spans="1:9" x14ac:dyDescent="0.25">
      <c r="A1364" s="198">
        <v>45582</v>
      </c>
      <c r="B1364" s="241">
        <v>10.210000000000001</v>
      </c>
      <c r="C1364" s="42">
        <f t="shared" si="20"/>
        <v>1346</v>
      </c>
      <c r="E1364" s="45">
        <f>+G1352-I1350</f>
        <v>45262.583333333336</v>
      </c>
      <c r="F1364" s="45">
        <f>F1358</f>
        <v>45627</v>
      </c>
      <c r="H1364" s="7" t="s">
        <v>20</v>
      </c>
      <c r="I1364" s="8">
        <f>+F1363/100</f>
        <v>0.10715576923076922</v>
      </c>
    </row>
    <row r="1365" spans="1:9" x14ac:dyDescent="0.25">
      <c r="A1365" s="198">
        <v>45589</v>
      </c>
      <c r="B1365" s="241">
        <v>10.199999999999999</v>
      </c>
      <c r="C1365" s="42">
        <f t="shared" ref="C1365:C1374" si="21">+C1364+1</f>
        <v>1347</v>
      </c>
      <c r="F1365" s="51"/>
      <c r="H1365" s="9" t="s">
        <v>21</v>
      </c>
      <c r="I1365" s="10">
        <f>+INPC!D334/100</f>
        <v>4.2123393743437321E-2</v>
      </c>
    </row>
    <row r="1366" spans="1:9" x14ac:dyDescent="0.25">
      <c r="A1366" s="198">
        <v>45596</v>
      </c>
      <c r="B1366" s="241">
        <v>10.199999999999999</v>
      </c>
      <c r="C1366" s="42">
        <f t="shared" si="21"/>
        <v>1348</v>
      </c>
      <c r="H1366" s="11" t="s">
        <v>22</v>
      </c>
      <c r="I1366" s="12">
        <f>(I1364-I1365)/(1+I1365)</f>
        <v>6.240371905838088E-2</v>
      </c>
    </row>
    <row r="1367" spans="1:9" x14ac:dyDescent="0.25">
      <c r="A1367" s="198">
        <v>45603</v>
      </c>
      <c r="B1367" s="241">
        <v>10.1</v>
      </c>
      <c r="C1367" s="42">
        <f t="shared" si="21"/>
        <v>1349</v>
      </c>
    </row>
    <row r="1368" spans="1:9" x14ac:dyDescent="0.25">
      <c r="A1368" s="198">
        <v>45610</v>
      </c>
      <c r="B1368" s="241">
        <v>10.1</v>
      </c>
      <c r="C1368" s="42">
        <f t="shared" si="21"/>
        <v>1350</v>
      </c>
    </row>
    <row r="1369" spans="1:9" x14ac:dyDescent="0.25">
      <c r="A1369" s="198">
        <v>45617</v>
      </c>
      <c r="B1369" s="241">
        <v>10.050000000000001</v>
      </c>
      <c r="C1369" s="42">
        <f t="shared" si="21"/>
        <v>1351</v>
      </c>
      <c r="E1369" s="44" t="s">
        <v>58</v>
      </c>
      <c r="F1369" s="3">
        <f>AVERAGE(B332:B1374)</f>
        <v>6.2379290508149614</v>
      </c>
      <c r="H1369" s="5" t="s">
        <v>19</v>
      </c>
      <c r="I1369" s="6"/>
    </row>
    <row r="1370" spans="1:9" x14ac:dyDescent="0.25">
      <c r="A1370" s="198">
        <v>45624</v>
      </c>
      <c r="B1370" s="241">
        <v>9.9499999999999993</v>
      </c>
      <c r="C1370" s="42">
        <f t="shared" si="21"/>
        <v>1352</v>
      </c>
      <c r="E1370" s="45">
        <f>+F1370-(240*I1350)</f>
        <v>38327</v>
      </c>
      <c r="F1370" s="45">
        <f>F1350</f>
        <v>45627</v>
      </c>
      <c r="H1370" s="7" t="s">
        <v>20</v>
      </c>
      <c r="I1370" s="8">
        <f>+F1369/100</f>
        <v>6.2379290508149617E-2</v>
      </c>
    </row>
    <row r="1371" spans="1:9" x14ac:dyDescent="0.25">
      <c r="A1371" s="198">
        <v>45631</v>
      </c>
      <c r="B1371" s="241">
        <v>9.9</v>
      </c>
      <c r="C1371" s="42">
        <f t="shared" si="21"/>
        <v>1353</v>
      </c>
      <c r="H1371" s="9" t="s">
        <v>21</v>
      </c>
      <c r="I1371" s="10">
        <f>+INPC!D337/100</f>
        <v>4.3998465238327844E-2</v>
      </c>
    </row>
    <row r="1372" spans="1:9" x14ac:dyDescent="0.25">
      <c r="A1372" s="198">
        <v>45637</v>
      </c>
      <c r="B1372" s="241">
        <v>9.9499999999999993</v>
      </c>
      <c r="C1372" s="42">
        <f t="shared" si="21"/>
        <v>1354</v>
      </c>
      <c r="H1372" s="11" t="s">
        <v>22</v>
      </c>
      <c r="I1372" s="12">
        <f>(I1370-I1371)/(1+I1371)</f>
        <v>1.7606180355471814E-2</v>
      </c>
    </row>
    <row r="1373" spans="1:9" x14ac:dyDescent="0.25">
      <c r="A1373" s="198">
        <v>45645</v>
      </c>
      <c r="B1373" s="241">
        <v>9.8000000000000007</v>
      </c>
      <c r="C1373" s="42">
        <f t="shared" si="21"/>
        <v>1355</v>
      </c>
    </row>
    <row r="1374" spans="1:9" x14ac:dyDescent="0.25">
      <c r="A1374" s="198">
        <v>45652</v>
      </c>
      <c r="B1374" s="241">
        <v>9.74</v>
      </c>
      <c r="C1374" s="42">
        <f t="shared" si="21"/>
        <v>1356</v>
      </c>
    </row>
    <row r="1375" spans="1:9" x14ac:dyDescent="0.25">
      <c r="A1375" s="198"/>
      <c r="B1375" s="241"/>
    </row>
    <row r="1376" spans="1:9" x14ac:dyDescent="0.25">
      <c r="A1376" s="198"/>
      <c r="B1376" s="241"/>
    </row>
    <row r="1377" spans="1:5" x14ac:dyDescent="0.25">
      <c r="A1377" s="198"/>
      <c r="B1377" s="241"/>
    </row>
    <row r="1378" spans="1:5" x14ac:dyDescent="0.25">
      <c r="E1378" s="13" t="s">
        <v>60</v>
      </c>
    </row>
  </sheetData>
  <hyperlinks>
    <hyperlink ref="E1378" r:id="rId1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3"/>
  <sheetViews>
    <sheetView topLeftCell="A312" zoomScaleNormal="100" workbookViewId="0">
      <selection activeCell="E1356" sqref="E1356"/>
    </sheetView>
  </sheetViews>
  <sheetFormatPr baseColWidth="10" defaultColWidth="8.85546875" defaultRowHeight="15" x14ac:dyDescent="0.25"/>
  <cols>
    <col min="1" max="1" width="15" customWidth="1"/>
    <col min="2" max="2" width="21.85546875" customWidth="1"/>
    <col min="3" max="3" width="41" style="43" customWidth="1"/>
    <col min="4" max="33" width="25" style="43" customWidth="1"/>
    <col min="34" max="16384" width="8.85546875" style="43"/>
  </cols>
  <sheetData>
    <row r="1" spans="1:33" customFormat="1" ht="18.75" x14ac:dyDescent="0.3">
      <c r="A1" s="192" t="s">
        <v>0</v>
      </c>
    </row>
    <row r="2" spans="1:33" customFormat="1" x14ac:dyDescent="0.25"/>
    <row r="3" spans="1:33" customFormat="1" x14ac:dyDescent="0.25">
      <c r="A3" s="238" t="s">
        <v>183</v>
      </c>
    </row>
    <row r="4" spans="1:33" customFormat="1" x14ac:dyDescent="0.25">
      <c r="A4" s="193" t="s">
        <v>184</v>
      </c>
    </row>
    <row r="5" spans="1:33" customFormat="1" x14ac:dyDescent="0.25"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</row>
    <row r="6" spans="1:33" customFormat="1" x14ac:dyDescent="0.25">
      <c r="A6" s="238" t="s">
        <v>194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</row>
    <row r="7" spans="1:33" customFormat="1" x14ac:dyDescent="0.25"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</row>
    <row r="8" spans="1:33" customFormat="1" x14ac:dyDescent="0.25">
      <c r="A8" s="223" t="s">
        <v>186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</row>
    <row r="9" spans="1:33" customFormat="1" x14ac:dyDescent="0.25"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</row>
    <row r="10" spans="1:33" customFormat="1" ht="45" x14ac:dyDescent="0.25">
      <c r="A10" s="194" t="s">
        <v>3</v>
      </c>
      <c r="B10" s="239" t="s">
        <v>187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</row>
    <row r="11" spans="1:33" customFormat="1" ht="30" x14ac:dyDescent="0.25">
      <c r="A11" s="194" t="s">
        <v>5</v>
      </c>
      <c r="B11" s="240" t="s">
        <v>195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</row>
    <row r="12" spans="1:33" customFormat="1" x14ac:dyDescent="0.25">
      <c r="A12" s="194" t="s">
        <v>6</v>
      </c>
      <c r="B12" s="240" t="s">
        <v>23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</row>
    <row r="13" spans="1:33" customFormat="1" x14ac:dyDescent="0.25">
      <c r="A13" s="194" t="s">
        <v>8</v>
      </c>
      <c r="B13" s="240" t="s">
        <v>188</v>
      </c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</row>
    <row r="14" spans="1:33" customFormat="1" x14ac:dyDescent="0.25">
      <c r="A14" s="194" t="s">
        <v>10</v>
      </c>
      <c r="B14" s="240" t="s">
        <v>11</v>
      </c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</row>
    <row r="15" spans="1:33" customFormat="1" x14ac:dyDescent="0.25">
      <c r="A15" s="194" t="s">
        <v>12</v>
      </c>
      <c r="B15" s="240" t="s">
        <v>189</v>
      </c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</row>
    <row r="16" spans="1:33" customFormat="1" x14ac:dyDescent="0.25">
      <c r="A16" s="194" t="s">
        <v>13</v>
      </c>
      <c r="B16" s="242" t="s">
        <v>190</v>
      </c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</row>
    <row r="17" spans="1:34" customFormat="1" ht="30" x14ac:dyDescent="0.25">
      <c r="A17" s="194" t="s">
        <v>14</v>
      </c>
      <c r="B17" s="240" t="s">
        <v>24</v>
      </c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</row>
    <row r="18" spans="1:34" customFormat="1" x14ac:dyDescent="0.25">
      <c r="A18" s="196" t="s">
        <v>16</v>
      </c>
      <c r="B18" s="197" t="s">
        <v>191</v>
      </c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</row>
    <row r="19" spans="1:34" customFormat="1" x14ac:dyDescent="0.25">
      <c r="A19" s="224">
        <v>36161</v>
      </c>
      <c r="B19" s="243">
        <v>40.469769999999997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</row>
    <row r="20" spans="1:34" customFormat="1" x14ac:dyDescent="0.25">
      <c r="A20" s="225">
        <v>36192</v>
      </c>
      <c r="B20" s="243">
        <v>41.013643000000002</v>
      </c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</row>
    <row r="21" spans="1:34" customFormat="1" x14ac:dyDescent="0.25">
      <c r="A21" s="226">
        <v>36220</v>
      </c>
      <c r="B21" s="243">
        <v>41.394683999999998</v>
      </c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</row>
    <row r="22" spans="1:34" customFormat="1" x14ac:dyDescent="0.25">
      <c r="A22" s="227">
        <v>36251</v>
      </c>
      <c r="B22" s="243">
        <v>41.774577000000001</v>
      </c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</row>
    <row r="23" spans="1:34" customFormat="1" x14ac:dyDescent="0.25">
      <c r="A23" s="228">
        <v>36281</v>
      </c>
      <c r="B23" s="243">
        <v>42.025877000000001</v>
      </c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</row>
    <row r="24" spans="1:34" customFormat="1" x14ac:dyDescent="0.25">
      <c r="A24" s="229">
        <v>36312</v>
      </c>
      <c r="B24" s="243">
        <v>42.302005999999999</v>
      </c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</row>
    <row r="25" spans="1:34" customFormat="1" x14ac:dyDescent="0.25">
      <c r="A25" s="220">
        <v>36342</v>
      </c>
      <c r="B25" s="243">
        <v>42.581580000000002</v>
      </c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</row>
    <row r="26" spans="1:34" customFormat="1" x14ac:dyDescent="0.25">
      <c r="A26" s="221">
        <v>36373</v>
      </c>
      <c r="B26" s="243">
        <v>42.821255000000001</v>
      </c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</row>
    <row r="27" spans="1:34" customFormat="1" x14ac:dyDescent="0.25">
      <c r="A27" s="222">
        <v>36404</v>
      </c>
      <c r="B27" s="243">
        <v>43.235017999999997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</row>
    <row r="28" spans="1:34" customFormat="1" x14ac:dyDescent="0.25">
      <c r="A28" s="230">
        <v>36434</v>
      </c>
      <c r="B28" s="243">
        <v>43.508851</v>
      </c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</row>
    <row r="29" spans="1:34" customFormat="1" x14ac:dyDescent="0.25">
      <c r="A29" s="231">
        <v>36465</v>
      </c>
      <c r="B29" s="243">
        <v>43.895775999999998</v>
      </c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</row>
    <row r="30" spans="1:34" customFormat="1" x14ac:dyDescent="0.25">
      <c r="A30" s="232">
        <v>36495</v>
      </c>
      <c r="B30" s="243">
        <v>44.335515999999998</v>
      </c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</row>
    <row r="31" spans="1:34" customFormat="1" x14ac:dyDescent="0.25">
      <c r="A31" s="224">
        <v>36526</v>
      </c>
      <c r="B31" s="243">
        <v>44.93083</v>
      </c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</row>
    <row r="32" spans="1:34" customFormat="1" x14ac:dyDescent="0.25">
      <c r="A32" s="225">
        <v>36557</v>
      </c>
      <c r="B32" s="243">
        <v>45.32938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</row>
    <row r="33" spans="1:34" customFormat="1" x14ac:dyDescent="0.25">
      <c r="A33" s="226">
        <v>36586</v>
      </c>
      <c r="B33" s="243">
        <v>45.580680999999998</v>
      </c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</row>
    <row r="34" spans="1:34" customFormat="1" x14ac:dyDescent="0.25">
      <c r="A34" s="227">
        <v>36617</v>
      </c>
      <c r="B34" s="243">
        <v>45.840018000000001</v>
      </c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</row>
    <row r="35" spans="1:34" customFormat="1" x14ac:dyDescent="0.25">
      <c r="A35" s="228">
        <v>36647</v>
      </c>
      <c r="B35" s="243">
        <v>46.011378999999998</v>
      </c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</row>
    <row r="36" spans="1:34" customFormat="1" x14ac:dyDescent="0.25">
      <c r="A36" s="229">
        <v>36678</v>
      </c>
      <c r="B36" s="243">
        <v>46.283920000000002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</row>
    <row r="37" spans="1:34" customFormat="1" x14ac:dyDescent="0.25">
      <c r="A37" s="220">
        <v>36708</v>
      </c>
      <c r="B37" s="243">
        <v>46.464466000000002</v>
      </c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</row>
    <row r="38" spans="1:34" customFormat="1" x14ac:dyDescent="0.25">
      <c r="A38" s="221">
        <v>36739</v>
      </c>
      <c r="B38" s="243">
        <v>46.719785000000002</v>
      </c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</row>
    <row r="39" spans="1:34" customFormat="1" x14ac:dyDescent="0.25">
      <c r="A39" s="222">
        <v>36770</v>
      </c>
      <c r="B39" s="243">
        <v>47.061072000000003</v>
      </c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</row>
    <row r="40" spans="1:34" customFormat="1" x14ac:dyDescent="0.25">
      <c r="A40" s="230">
        <v>36800</v>
      </c>
      <c r="B40" s="243">
        <v>47.385136000000003</v>
      </c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</row>
    <row r="41" spans="1:34" customFormat="1" x14ac:dyDescent="0.25">
      <c r="A41" s="231">
        <v>36831</v>
      </c>
      <c r="B41" s="243">
        <v>47.790287999999997</v>
      </c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5"/>
      <c r="S41" s="235"/>
      <c r="T41" s="235"/>
      <c r="U41" s="235"/>
      <c r="V41" s="235"/>
      <c r="W41" s="235"/>
      <c r="X41" s="235"/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</row>
    <row r="42" spans="1:34" customFormat="1" x14ac:dyDescent="0.25">
      <c r="A42" s="232">
        <v>36861</v>
      </c>
      <c r="B42" s="243">
        <v>48.307670999999999</v>
      </c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</row>
    <row r="43" spans="1:34" customFormat="1" x14ac:dyDescent="0.25">
      <c r="A43" s="224">
        <v>36892</v>
      </c>
      <c r="B43" s="243">
        <v>48.575476000000002</v>
      </c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</row>
    <row r="44" spans="1:34" customFormat="1" x14ac:dyDescent="0.25">
      <c r="A44" s="225">
        <v>36923</v>
      </c>
      <c r="B44" s="243">
        <v>48.543328000000002</v>
      </c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</row>
    <row r="45" spans="1:34" customFormat="1" x14ac:dyDescent="0.25">
      <c r="A45" s="226">
        <v>36951</v>
      </c>
      <c r="B45" s="243">
        <v>48.850887999999998</v>
      </c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</row>
    <row r="46" spans="1:34" customFormat="1" x14ac:dyDescent="0.25">
      <c r="A46" s="227">
        <v>36982</v>
      </c>
      <c r="B46" s="243">
        <v>49.097309000000003</v>
      </c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</row>
    <row r="47" spans="1:34" customFormat="1" x14ac:dyDescent="0.25">
      <c r="A47" s="228">
        <v>37012</v>
      </c>
      <c r="B47" s="243">
        <v>49.209969999999998</v>
      </c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  <c r="AD47" s="235"/>
      <c r="AE47" s="235"/>
      <c r="AF47" s="235"/>
      <c r="AG47" s="235"/>
      <c r="AH47" s="235"/>
    </row>
    <row r="48" spans="1:34" customFormat="1" x14ac:dyDescent="0.25">
      <c r="A48" s="229">
        <v>37043</v>
      </c>
      <c r="B48" s="243">
        <v>49.326363999999998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  <c r="AD48" s="235"/>
      <c r="AE48" s="235"/>
      <c r="AF48" s="235"/>
      <c r="AG48" s="235"/>
      <c r="AH48" s="235"/>
    </row>
    <row r="49" spans="1:34" customFormat="1" x14ac:dyDescent="0.25">
      <c r="A49" s="220">
        <v>37073</v>
      </c>
      <c r="B49" s="243">
        <v>49.198202000000002</v>
      </c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</row>
    <row r="50" spans="1:34" customFormat="1" x14ac:dyDescent="0.25">
      <c r="A50" s="221">
        <v>37104</v>
      </c>
      <c r="B50" s="243">
        <v>49.489688000000001</v>
      </c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</row>
    <row r="51" spans="1:34" customFormat="1" x14ac:dyDescent="0.25">
      <c r="A51" s="222">
        <v>37135</v>
      </c>
      <c r="B51" s="243">
        <v>49.950381</v>
      </c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5"/>
      <c r="AG51" s="235"/>
      <c r="AH51" s="235"/>
    </row>
    <row r="52" spans="1:34" customFormat="1" x14ac:dyDescent="0.25">
      <c r="A52" s="230">
        <v>37165</v>
      </c>
      <c r="B52" s="243">
        <v>50.176135000000002</v>
      </c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</row>
    <row r="53" spans="1:34" customFormat="1" x14ac:dyDescent="0.25">
      <c r="A53" s="231">
        <v>37196</v>
      </c>
      <c r="B53" s="243">
        <v>50.365149000000002</v>
      </c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  <c r="AD53" s="235"/>
      <c r="AE53" s="235"/>
      <c r="AF53" s="235"/>
      <c r="AG53" s="235"/>
      <c r="AH53" s="235"/>
    </row>
    <row r="54" spans="1:34" customFormat="1" x14ac:dyDescent="0.25">
      <c r="A54" s="232">
        <v>37226</v>
      </c>
      <c r="B54" s="243">
        <v>50.434899000000001</v>
      </c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35"/>
      <c r="AH54" s="235"/>
    </row>
    <row r="55" spans="1:34" customFormat="1" x14ac:dyDescent="0.25">
      <c r="A55" s="224">
        <v>37257</v>
      </c>
      <c r="B55" s="243">
        <v>50.900472000000001</v>
      </c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5"/>
      <c r="S55" s="235"/>
      <c r="T55" s="235"/>
      <c r="U55" s="234"/>
      <c r="V55" s="235"/>
      <c r="W55" s="235"/>
      <c r="X55" s="234"/>
      <c r="Y55" s="234"/>
      <c r="Z55" s="235"/>
      <c r="AA55" s="235"/>
      <c r="AB55" s="234"/>
      <c r="AC55" s="234"/>
      <c r="AD55" s="234"/>
      <c r="AE55" s="235"/>
      <c r="AF55" s="234"/>
      <c r="AG55" s="235"/>
      <c r="AH55" s="235"/>
    </row>
    <row r="56" spans="1:34" customFormat="1" x14ac:dyDescent="0.25">
      <c r="A56" s="225">
        <v>37288</v>
      </c>
      <c r="B56" s="243">
        <v>50.867750000000001</v>
      </c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5"/>
      <c r="S56" s="235"/>
      <c r="T56" s="235"/>
      <c r="U56" s="234"/>
      <c r="V56" s="235"/>
      <c r="W56" s="235"/>
      <c r="X56" s="234"/>
      <c r="Y56" s="234"/>
      <c r="Z56" s="235"/>
      <c r="AA56" s="235"/>
      <c r="AB56" s="234"/>
      <c r="AC56" s="234"/>
      <c r="AD56" s="234"/>
      <c r="AE56" s="235"/>
      <c r="AF56" s="234"/>
      <c r="AG56" s="235"/>
      <c r="AH56" s="235"/>
    </row>
    <row r="57" spans="1:34" customFormat="1" x14ac:dyDescent="0.25">
      <c r="A57" s="226">
        <v>37316</v>
      </c>
      <c r="B57" s="243">
        <v>51.127948000000004</v>
      </c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5"/>
      <c r="S57" s="235"/>
      <c r="T57" s="235"/>
      <c r="U57" s="234"/>
      <c r="V57" s="235"/>
      <c r="W57" s="235"/>
      <c r="X57" s="234"/>
      <c r="Y57" s="234"/>
      <c r="Z57" s="235"/>
      <c r="AA57" s="235"/>
      <c r="AB57" s="234"/>
      <c r="AC57" s="234"/>
      <c r="AD57" s="234"/>
      <c r="AE57" s="235"/>
      <c r="AF57" s="234"/>
      <c r="AG57" s="235"/>
      <c r="AH57" s="235"/>
    </row>
    <row r="58" spans="1:34" customFormat="1" x14ac:dyDescent="0.25">
      <c r="A58" s="227">
        <v>37347</v>
      </c>
      <c r="B58" s="243">
        <v>51.407235</v>
      </c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5"/>
      <c r="S58" s="235"/>
      <c r="T58" s="235"/>
      <c r="U58" s="234"/>
      <c r="V58" s="235"/>
      <c r="W58" s="235"/>
      <c r="X58" s="234"/>
      <c r="Y58" s="234"/>
      <c r="Z58" s="235"/>
      <c r="AA58" s="235"/>
      <c r="AB58" s="234"/>
      <c r="AC58" s="234"/>
      <c r="AD58" s="234"/>
      <c r="AE58" s="235"/>
      <c r="AF58" s="234"/>
      <c r="AG58" s="235"/>
      <c r="AH58" s="235"/>
    </row>
    <row r="59" spans="1:34" customFormat="1" x14ac:dyDescent="0.25">
      <c r="A59" s="228">
        <v>37377</v>
      </c>
      <c r="B59" s="243">
        <v>51.511429</v>
      </c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5"/>
      <c r="S59" s="235"/>
      <c r="T59" s="235"/>
      <c r="U59" s="234"/>
      <c r="V59" s="235"/>
      <c r="W59" s="235"/>
      <c r="X59" s="234"/>
      <c r="Y59" s="234"/>
      <c r="Z59" s="235"/>
      <c r="AA59" s="235"/>
      <c r="AB59" s="234"/>
      <c r="AC59" s="234"/>
      <c r="AD59" s="234"/>
      <c r="AE59" s="235"/>
      <c r="AF59" s="234"/>
      <c r="AG59" s="235"/>
      <c r="AH59" s="235"/>
    </row>
    <row r="60" spans="1:34" customFormat="1" x14ac:dyDescent="0.25">
      <c r="A60" s="229">
        <v>37408</v>
      </c>
      <c r="B60" s="243">
        <v>51.762585999999999</v>
      </c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5"/>
      <c r="S60" s="235"/>
      <c r="T60" s="235"/>
      <c r="U60" s="234"/>
      <c r="V60" s="235"/>
      <c r="W60" s="235"/>
      <c r="X60" s="234"/>
      <c r="Y60" s="234"/>
      <c r="Z60" s="235"/>
      <c r="AA60" s="235"/>
      <c r="AB60" s="234"/>
      <c r="AC60" s="234"/>
      <c r="AD60" s="234"/>
      <c r="AE60" s="235"/>
      <c r="AF60" s="234"/>
      <c r="AG60" s="235"/>
      <c r="AH60" s="235"/>
    </row>
    <row r="61" spans="1:34" customFormat="1" x14ac:dyDescent="0.25">
      <c r="A61" s="220">
        <v>37438</v>
      </c>
      <c r="B61" s="243">
        <v>51.911180999999999</v>
      </c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5"/>
      <c r="S61" s="235"/>
      <c r="T61" s="235"/>
      <c r="U61" s="234"/>
      <c r="V61" s="235"/>
      <c r="W61" s="235"/>
      <c r="X61" s="234"/>
      <c r="Y61" s="234"/>
      <c r="Z61" s="235"/>
      <c r="AA61" s="235"/>
      <c r="AB61" s="234"/>
      <c r="AC61" s="234"/>
      <c r="AD61" s="234"/>
      <c r="AE61" s="235"/>
      <c r="AF61" s="234"/>
      <c r="AG61" s="235"/>
      <c r="AH61" s="235"/>
    </row>
    <row r="62" spans="1:34" customFormat="1" x14ac:dyDescent="0.25">
      <c r="A62" s="221">
        <v>37469</v>
      </c>
      <c r="B62" s="243">
        <v>52.108559999999997</v>
      </c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5"/>
      <c r="S62" s="235"/>
      <c r="T62" s="235"/>
      <c r="U62" s="234"/>
      <c r="V62" s="235"/>
      <c r="W62" s="235"/>
      <c r="X62" s="234"/>
      <c r="Y62" s="234"/>
      <c r="Z62" s="235"/>
      <c r="AA62" s="235"/>
      <c r="AB62" s="234"/>
      <c r="AC62" s="234"/>
      <c r="AD62" s="234"/>
      <c r="AE62" s="235"/>
      <c r="AF62" s="234"/>
      <c r="AG62" s="235"/>
      <c r="AH62" s="235"/>
    </row>
    <row r="63" spans="1:34" customFormat="1" x14ac:dyDescent="0.25">
      <c r="A63" s="222">
        <v>37500</v>
      </c>
      <c r="B63" s="243">
        <v>52.421984000000002</v>
      </c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5"/>
      <c r="S63" s="235"/>
      <c r="T63" s="235"/>
      <c r="U63" s="234"/>
      <c r="V63" s="235"/>
      <c r="W63" s="235"/>
      <c r="X63" s="234"/>
      <c r="Y63" s="234"/>
      <c r="Z63" s="235"/>
      <c r="AA63" s="235"/>
      <c r="AB63" s="234"/>
      <c r="AC63" s="234"/>
      <c r="AD63" s="234"/>
      <c r="AE63" s="235"/>
      <c r="AF63" s="234"/>
      <c r="AG63" s="235"/>
      <c r="AH63" s="235"/>
    </row>
    <row r="64" spans="1:34" customFormat="1" x14ac:dyDescent="0.25">
      <c r="A64" s="230">
        <v>37530</v>
      </c>
      <c r="B64" s="243">
        <v>52.653036</v>
      </c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5"/>
      <c r="S64" s="235"/>
      <c r="T64" s="235"/>
      <c r="U64" s="234"/>
      <c r="V64" s="235"/>
      <c r="W64" s="235"/>
      <c r="X64" s="234"/>
      <c r="Y64" s="234"/>
      <c r="Z64" s="235"/>
      <c r="AA64" s="235"/>
      <c r="AB64" s="234"/>
      <c r="AC64" s="234"/>
      <c r="AD64" s="234"/>
      <c r="AE64" s="235"/>
      <c r="AF64" s="234"/>
      <c r="AG64" s="235"/>
      <c r="AH64" s="235"/>
    </row>
    <row r="65" spans="1:34" customFormat="1" x14ac:dyDescent="0.25">
      <c r="A65" s="231">
        <v>37561</v>
      </c>
      <c r="B65" s="243">
        <v>53.078876999999999</v>
      </c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5"/>
      <c r="S65" s="235"/>
      <c r="T65" s="235"/>
      <c r="U65" s="234"/>
      <c r="V65" s="235"/>
      <c r="W65" s="235"/>
      <c r="X65" s="234"/>
      <c r="Y65" s="234"/>
      <c r="Z65" s="235"/>
      <c r="AA65" s="235"/>
      <c r="AB65" s="234"/>
      <c r="AC65" s="234"/>
      <c r="AD65" s="234"/>
      <c r="AE65" s="235"/>
      <c r="AF65" s="234"/>
      <c r="AG65" s="235"/>
      <c r="AH65" s="235"/>
    </row>
    <row r="66" spans="1:34" customFormat="1" x14ac:dyDescent="0.25">
      <c r="A66" s="232">
        <v>37591</v>
      </c>
      <c r="B66" s="243">
        <v>53.309930000000001</v>
      </c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5"/>
      <c r="S66" s="235"/>
      <c r="T66" s="235"/>
      <c r="U66" s="234"/>
      <c r="V66" s="235"/>
      <c r="W66" s="235"/>
      <c r="X66" s="234"/>
      <c r="Y66" s="234"/>
      <c r="Z66" s="235"/>
      <c r="AA66" s="235"/>
      <c r="AB66" s="234"/>
      <c r="AC66" s="234"/>
      <c r="AD66" s="234"/>
      <c r="AE66" s="235"/>
      <c r="AF66" s="234"/>
      <c r="AG66" s="235"/>
      <c r="AH66" s="235"/>
    </row>
    <row r="67" spans="1:34" customFormat="1" x14ac:dyDescent="0.25">
      <c r="A67" s="224">
        <v>37622</v>
      </c>
      <c r="B67" s="243">
        <v>53.525441000000001</v>
      </c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5"/>
      <c r="S67" s="235"/>
      <c r="T67" s="235"/>
      <c r="U67" s="234"/>
      <c r="V67" s="235"/>
      <c r="W67" s="235"/>
      <c r="X67" s="234"/>
      <c r="Y67" s="234"/>
      <c r="Z67" s="235"/>
      <c r="AA67" s="235"/>
      <c r="AB67" s="234"/>
      <c r="AC67" s="234"/>
      <c r="AD67" s="234"/>
      <c r="AE67" s="235"/>
      <c r="AF67" s="234"/>
      <c r="AG67" s="235"/>
      <c r="AH67" s="235"/>
    </row>
    <row r="68" spans="1:34" customFormat="1" x14ac:dyDescent="0.25">
      <c r="A68" s="225">
        <v>37653</v>
      </c>
      <c r="B68" s="243">
        <v>53.674121999999997</v>
      </c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5"/>
      <c r="S68" s="235"/>
      <c r="T68" s="235"/>
      <c r="U68" s="234"/>
      <c r="V68" s="235"/>
      <c r="W68" s="235"/>
      <c r="X68" s="234"/>
      <c r="Y68" s="234"/>
      <c r="Z68" s="235"/>
      <c r="AA68" s="235"/>
      <c r="AB68" s="234"/>
      <c r="AC68" s="234"/>
      <c r="AD68" s="234"/>
      <c r="AE68" s="235"/>
      <c r="AF68" s="234"/>
      <c r="AG68" s="235"/>
      <c r="AH68" s="235"/>
    </row>
    <row r="69" spans="1:34" customFormat="1" x14ac:dyDescent="0.25">
      <c r="A69" s="226">
        <v>37681</v>
      </c>
      <c r="B69" s="243">
        <v>54.012929999999997</v>
      </c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5"/>
      <c r="S69" s="235"/>
      <c r="T69" s="235"/>
      <c r="U69" s="234"/>
      <c r="V69" s="235"/>
      <c r="W69" s="235"/>
      <c r="X69" s="234"/>
      <c r="Y69" s="234"/>
      <c r="Z69" s="235"/>
      <c r="AA69" s="235"/>
      <c r="AB69" s="234"/>
      <c r="AC69" s="234"/>
      <c r="AD69" s="234"/>
      <c r="AE69" s="235"/>
      <c r="AF69" s="234"/>
      <c r="AG69" s="235"/>
      <c r="AH69" s="235"/>
    </row>
    <row r="70" spans="1:34" customFormat="1" x14ac:dyDescent="0.25">
      <c r="A70" s="227">
        <v>37712</v>
      </c>
      <c r="B70" s="243">
        <v>54.105144000000003</v>
      </c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5"/>
      <c r="S70" s="235"/>
      <c r="T70" s="235"/>
      <c r="U70" s="234"/>
      <c r="V70" s="235"/>
      <c r="W70" s="235"/>
      <c r="X70" s="234"/>
      <c r="Y70" s="234"/>
      <c r="Z70" s="235"/>
      <c r="AA70" s="235"/>
      <c r="AB70" s="234"/>
      <c r="AC70" s="234"/>
      <c r="AD70" s="234"/>
      <c r="AE70" s="235"/>
      <c r="AF70" s="234"/>
      <c r="AG70" s="235"/>
      <c r="AH70" s="235"/>
    </row>
    <row r="71" spans="1:34" customFormat="1" x14ac:dyDescent="0.25">
      <c r="A71" s="228">
        <v>37742</v>
      </c>
      <c r="B71" s="243">
        <v>53.93056</v>
      </c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5"/>
      <c r="S71" s="235"/>
      <c r="T71" s="235"/>
      <c r="U71" s="234"/>
      <c r="V71" s="235"/>
      <c r="W71" s="235"/>
      <c r="X71" s="234"/>
      <c r="Y71" s="234"/>
      <c r="Z71" s="235"/>
      <c r="AA71" s="235"/>
      <c r="AB71" s="234"/>
      <c r="AC71" s="234"/>
      <c r="AD71" s="234"/>
      <c r="AE71" s="235"/>
      <c r="AF71" s="234"/>
      <c r="AG71" s="235"/>
      <c r="AH71" s="235"/>
    </row>
    <row r="72" spans="1:34" customFormat="1" x14ac:dyDescent="0.25">
      <c r="A72" s="229">
        <v>37773</v>
      </c>
      <c r="B72" s="243">
        <v>53.975112000000003</v>
      </c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5"/>
      <c r="S72" s="235"/>
      <c r="T72" s="235"/>
      <c r="U72" s="234"/>
      <c r="V72" s="235"/>
      <c r="W72" s="235"/>
      <c r="X72" s="234"/>
      <c r="Y72" s="234"/>
      <c r="Z72" s="235"/>
      <c r="AA72" s="235"/>
      <c r="AB72" s="234"/>
      <c r="AC72" s="234"/>
      <c r="AD72" s="234"/>
      <c r="AE72" s="235"/>
      <c r="AF72" s="234"/>
      <c r="AG72" s="235"/>
      <c r="AH72" s="235"/>
    </row>
    <row r="73" spans="1:34" customFormat="1" x14ac:dyDescent="0.25">
      <c r="A73" s="220">
        <v>37803</v>
      </c>
      <c r="B73" s="243">
        <v>54.053339000000001</v>
      </c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5"/>
      <c r="S73" s="235"/>
      <c r="T73" s="235"/>
      <c r="U73" s="234"/>
      <c r="V73" s="235"/>
      <c r="W73" s="235"/>
      <c r="X73" s="234"/>
      <c r="Y73" s="234"/>
      <c r="Z73" s="235"/>
      <c r="AA73" s="235"/>
      <c r="AB73" s="234"/>
      <c r="AC73" s="234"/>
      <c r="AD73" s="234"/>
      <c r="AE73" s="235"/>
      <c r="AF73" s="234"/>
      <c r="AG73" s="235"/>
      <c r="AH73" s="235"/>
    </row>
    <row r="74" spans="1:34" customFormat="1" x14ac:dyDescent="0.25">
      <c r="A74" s="221">
        <v>37834</v>
      </c>
      <c r="B74" s="243">
        <v>54.215490000000003</v>
      </c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5"/>
      <c r="S74" s="235"/>
      <c r="T74" s="235"/>
      <c r="U74" s="234"/>
      <c r="V74" s="235"/>
      <c r="W74" s="235"/>
      <c r="X74" s="234"/>
      <c r="Y74" s="234"/>
      <c r="Z74" s="235"/>
      <c r="AA74" s="235"/>
      <c r="AB74" s="234"/>
      <c r="AC74" s="234"/>
      <c r="AD74" s="234"/>
      <c r="AE74" s="235"/>
      <c r="AF74" s="234"/>
      <c r="AG74" s="235"/>
      <c r="AH74" s="235"/>
    </row>
    <row r="75" spans="1:34" customFormat="1" x14ac:dyDescent="0.25">
      <c r="A75" s="222">
        <v>37865</v>
      </c>
      <c r="B75" s="243">
        <v>54.538238</v>
      </c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5"/>
      <c r="S75" s="235"/>
      <c r="T75" s="235"/>
      <c r="U75" s="234"/>
      <c r="V75" s="235"/>
      <c r="W75" s="235"/>
      <c r="X75" s="234"/>
      <c r="Y75" s="234"/>
      <c r="Z75" s="235"/>
      <c r="AA75" s="235"/>
      <c r="AB75" s="234"/>
      <c r="AC75" s="234"/>
      <c r="AD75" s="234"/>
      <c r="AE75" s="235"/>
      <c r="AF75" s="234"/>
      <c r="AG75" s="235"/>
      <c r="AH75" s="235"/>
    </row>
    <row r="76" spans="1:34" customFormat="1" x14ac:dyDescent="0.25">
      <c r="A76" s="230">
        <v>37895</v>
      </c>
      <c r="B76" s="243">
        <v>54.738207000000003</v>
      </c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5"/>
      <c r="S76" s="235"/>
      <c r="T76" s="235"/>
      <c r="U76" s="234"/>
      <c r="V76" s="235"/>
      <c r="W76" s="235"/>
      <c r="X76" s="234"/>
      <c r="Y76" s="234"/>
      <c r="Z76" s="235"/>
      <c r="AA76" s="235"/>
      <c r="AB76" s="234"/>
      <c r="AC76" s="234"/>
      <c r="AD76" s="234"/>
      <c r="AE76" s="235"/>
      <c r="AF76" s="234"/>
      <c r="AG76" s="235"/>
      <c r="AH76" s="235"/>
    </row>
    <row r="77" spans="1:34" customFormat="1" x14ac:dyDescent="0.25">
      <c r="A77" s="231">
        <v>37926</v>
      </c>
      <c r="B77" s="243">
        <v>55.192542000000003</v>
      </c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5"/>
      <c r="S77" s="235"/>
      <c r="T77" s="235"/>
      <c r="U77" s="234"/>
      <c r="V77" s="235"/>
      <c r="W77" s="235"/>
      <c r="X77" s="234"/>
      <c r="Y77" s="234"/>
      <c r="Z77" s="235"/>
      <c r="AA77" s="235"/>
      <c r="AB77" s="234"/>
      <c r="AC77" s="234"/>
      <c r="AD77" s="234"/>
      <c r="AE77" s="235"/>
      <c r="AF77" s="234"/>
      <c r="AG77" s="235"/>
      <c r="AH77" s="235"/>
    </row>
    <row r="78" spans="1:34" customFormat="1" x14ac:dyDescent="0.25">
      <c r="A78" s="232">
        <v>37956</v>
      </c>
      <c r="B78" s="243">
        <v>55.429811000000001</v>
      </c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5"/>
      <c r="S78" s="235"/>
      <c r="T78" s="235"/>
      <c r="U78" s="234"/>
      <c r="V78" s="235"/>
      <c r="W78" s="235"/>
      <c r="X78" s="234"/>
      <c r="Y78" s="234"/>
      <c r="Z78" s="235"/>
      <c r="AA78" s="235"/>
      <c r="AB78" s="234"/>
      <c r="AC78" s="234"/>
      <c r="AD78" s="234"/>
      <c r="AE78" s="235"/>
      <c r="AF78" s="234"/>
      <c r="AG78" s="235"/>
      <c r="AH78" s="235"/>
    </row>
    <row r="79" spans="1:34" customFormat="1" x14ac:dyDescent="0.25">
      <c r="A79" s="224">
        <v>37987</v>
      </c>
      <c r="B79" s="243">
        <v>55.774317000000003</v>
      </c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5"/>
      <c r="S79" s="235"/>
      <c r="T79" s="235"/>
      <c r="U79" s="234"/>
      <c r="V79" s="235"/>
      <c r="W79" s="235"/>
      <c r="X79" s="234"/>
      <c r="Y79" s="234"/>
      <c r="Z79" s="235"/>
      <c r="AA79" s="235"/>
      <c r="AB79" s="234"/>
      <c r="AC79" s="234"/>
      <c r="AD79" s="234"/>
      <c r="AE79" s="235"/>
      <c r="AF79" s="234"/>
      <c r="AG79" s="235"/>
      <c r="AH79" s="235"/>
    </row>
    <row r="80" spans="1:34" customFormat="1" x14ac:dyDescent="0.25">
      <c r="A80" s="225">
        <v>38018</v>
      </c>
      <c r="B80" s="243">
        <v>56.107945000000001</v>
      </c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5"/>
      <c r="S80" s="235"/>
      <c r="T80" s="235"/>
      <c r="U80" s="234"/>
      <c r="V80" s="235"/>
      <c r="W80" s="235"/>
      <c r="X80" s="234"/>
      <c r="Y80" s="234"/>
      <c r="Z80" s="235"/>
      <c r="AA80" s="235"/>
      <c r="AB80" s="234"/>
      <c r="AC80" s="234"/>
      <c r="AD80" s="234"/>
      <c r="AE80" s="235"/>
      <c r="AF80" s="234"/>
      <c r="AG80" s="235"/>
      <c r="AH80" s="235"/>
    </row>
    <row r="81" spans="1:34" customFormat="1" x14ac:dyDescent="0.25">
      <c r="A81" s="226">
        <v>38047</v>
      </c>
      <c r="B81" s="243">
        <v>56.298071</v>
      </c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5"/>
      <c r="S81" s="235"/>
      <c r="T81" s="235"/>
      <c r="U81" s="234"/>
      <c r="V81" s="235"/>
      <c r="W81" s="235"/>
      <c r="X81" s="234"/>
      <c r="Y81" s="234"/>
      <c r="Z81" s="235"/>
      <c r="AA81" s="235"/>
      <c r="AB81" s="234"/>
      <c r="AC81" s="234"/>
      <c r="AD81" s="234"/>
      <c r="AE81" s="235"/>
      <c r="AF81" s="234"/>
      <c r="AG81" s="235"/>
      <c r="AH81" s="235"/>
    </row>
    <row r="82" spans="1:34" customFormat="1" x14ac:dyDescent="0.25">
      <c r="A82" s="227">
        <v>38078</v>
      </c>
      <c r="B82" s="243">
        <v>56.383032</v>
      </c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5"/>
      <c r="S82" s="235"/>
      <c r="T82" s="235"/>
      <c r="U82" s="234"/>
      <c r="V82" s="235"/>
      <c r="W82" s="235"/>
      <c r="X82" s="234"/>
      <c r="Y82" s="234"/>
      <c r="Z82" s="235"/>
      <c r="AA82" s="235"/>
      <c r="AB82" s="234"/>
      <c r="AC82" s="234"/>
      <c r="AD82" s="234"/>
      <c r="AE82" s="235"/>
      <c r="AF82" s="234"/>
      <c r="AG82" s="235"/>
      <c r="AH82" s="235"/>
    </row>
    <row r="83" spans="1:34" customFormat="1" x14ac:dyDescent="0.25">
      <c r="A83" s="228">
        <v>38108</v>
      </c>
      <c r="B83" s="243">
        <v>56.241602999999998</v>
      </c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5"/>
      <c r="S83" s="235"/>
      <c r="T83" s="235"/>
      <c r="U83" s="234"/>
      <c r="V83" s="235"/>
      <c r="W83" s="235"/>
      <c r="X83" s="234"/>
      <c r="Y83" s="234"/>
      <c r="Z83" s="235"/>
      <c r="AA83" s="235"/>
      <c r="AB83" s="234"/>
      <c r="AC83" s="234"/>
      <c r="AD83" s="234"/>
      <c r="AE83" s="235"/>
      <c r="AF83" s="234"/>
      <c r="AG83" s="235"/>
      <c r="AH83" s="235"/>
    </row>
    <row r="84" spans="1:34" customFormat="1" x14ac:dyDescent="0.25">
      <c r="A84" s="229">
        <v>38139</v>
      </c>
      <c r="B84" s="243">
        <v>56.331744999999998</v>
      </c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5"/>
      <c r="S84" s="235"/>
      <c r="T84" s="235"/>
      <c r="U84" s="234"/>
      <c r="V84" s="235"/>
      <c r="W84" s="235"/>
      <c r="X84" s="234"/>
      <c r="Y84" s="234"/>
      <c r="Z84" s="235"/>
      <c r="AA84" s="235"/>
      <c r="AB84" s="234"/>
      <c r="AC84" s="234"/>
      <c r="AD84" s="234"/>
      <c r="AE84" s="235"/>
      <c r="AF84" s="234"/>
      <c r="AG84" s="235"/>
      <c r="AH84" s="235"/>
    </row>
    <row r="85" spans="1:34" customFormat="1" x14ac:dyDescent="0.25">
      <c r="A85" s="220">
        <v>38169</v>
      </c>
      <c r="B85" s="243">
        <v>56.479390000000002</v>
      </c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5"/>
      <c r="S85" s="235"/>
      <c r="T85" s="235"/>
      <c r="U85" s="234"/>
      <c r="V85" s="235"/>
      <c r="W85" s="235"/>
      <c r="X85" s="234"/>
      <c r="Y85" s="234"/>
      <c r="Z85" s="235"/>
      <c r="AA85" s="235"/>
      <c r="AB85" s="234"/>
      <c r="AC85" s="234"/>
      <c r="AD85" s="234"/>
      <c r="AE85" s="235"/>
      <c r="AF85" s="234"/>
      <c r="AG85" s="235"/>
      <c r="AH85" s="235"/>
    </row>
    <row r="86" spans="1:34" customFormat="1" x14ac:dyDescent="0.25">
      <c r="A86" s="221">
        <v>38200</v>
      </c>
      <c r="B86" s="243">
        <v>56.828040999999999</v>
      </c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5"/>
      <c r="S86" s="235"/>
      <c r="T86" s="235"/>
      <c r="U86" s="234"/>
      <c r="V86" s="235"/>
      <c r="W86" s="235"/>
      <c r="X86" s="234"/>
      <c r="Y86" s="234"/>
      <c r="Z86" s="235"/>
      <c r="AA86" s="235"/>
      <c r="AB86" s="234"/>
      <c r="AC86" s="234"/>
      <c r="AD86" s="234"/>
      <c r="AE86" s="235"/>
      <c r="AF86" s="234"/>
      <c r="AG86" s="235"/>
      <c r="AH86" s="235"/>
    </row>
    <row r="87" spans="1:34" customFormat="1" x14ac:dyDescent="0.25">
      <c r="A87" s="222">
        <v>38231</v>
      </c>
      <c r="B87" s="243">
        <v>57.297916999999998</v>
      </c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5"/>
      <c r="S87" s="235"/>
      <c r="T87" s="235"/>
      <c r="U87" s="234"/>
      <c r="V87" s="235"/>
      <c r="W87" s="235"/>
      <c r="X87" s="234"/>
      <c r="Y87" s="234"/>
      <c r="Z87" s="235"/>
      <c r="AA87" s="235"/>
      <c r="AB87" s="234"/>
      <c r="AC87" s="234"/>
      <c r="AD87" s="234"/>
      <c r="AE87" s="235"/>
      <c r="AF87" s="234"/>
      <c r="AG87" s="235"/>
      <c r="AH87" s="235"/>
    </row>
    <row r="88" spans="1:34" customFormat="1" x14ac:dyDescent="0.25">
      <c r="A88" s="230">
        <v>38261</v>
      </c>
      <c r="B88" s="243">
        <v>57.694747</v>
      </c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5"/>
      <c r="S88" s="235"/>
      <c r="T88" s="235"/>
      <c r="U88" s="234"/>
      <c r="V88" s="235"/>
      <c r="W88" s="235"/>
      <c r="X88" s="234"/>
      <c r="Y88" s="234"/>
      <c r="Z88" s="235"/>
      <c r="AA88" s="235"/>
      <c r="AB88" s="234"/>
      <c r="AC88" s="234"/>
      <c r="AD88" s="234"/>
      <c r="AE88" s="235"/>
      <c r="AF88" s="234"/>
      <c r="AG88" s="235"/>
      <c r="AH88" s="235"/>
    </row>
    <row r="89" spans="1:34" customFormat="1" x14ac:dyDescent="0.25">
      <c r="A89" s="231">
        <v>38292</v>
      </c>
      <c r="B89" s="243">
        <v>58.186898999999997</v>
      </c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5"/>
      <c r="S89" s="235"/>
      <c r="T89" s="235"/>
      <c r="U89" s="234"/>
      <c r="V89" s="235"/>
      <c r="W89" s="235"/>
      <c r="X89" s="234"/>
      <c r="Y89" s="234"/>
      <c r="Z89" s="235"/>
      <c r="AA89" s="235"/>
      <c r="AB89" s="234"/>
      <c r="AC89" s="234"/>
      <c r="AD89" s="234"/>
      <c r="AE89" s="235"/>
      <c r="AF89" s="234"/>
      <c r="AG89" s="235"/>
      <c r="AH89" s="235"/>
    </row>
    <row r="90" spans="1:34" customFormat="1" x14ac:dyDescent="0.25">
      <c r="A90" s="232">
        <v>38322</v>
      </c>
      <c r="B90" s="243">
        <v>58.307088</v>
      </c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5"/>
      <c r="S90" s="235"/>
      <c r="T90" s="235"/>
      <c r="U90" s="234"/>
      <c r="V90" s="235"/>
      <c r="W90" s="235"/>
      <c r="X90" s="234"/>
      <c r="Y90" s="234"/>
      <c r="Z90" s="235"/>
      <c r="AA90" s="235"/>
      <c r="AB90" s="234"/>
      <c r="AC90" s="234"/>
      <c r="AD90" s="234"/>
      <c r="AE90" s="235"/>
      <c r="AF90" s="234"/>
      <c r="AG90" s="235"/>
      <c r="AH90" s="235"/>
    </row>
    <row r="91" spans="1:34" customFormat="1" x14ac:dyDescent="0.25">
      <c r="A91" s="224">
        <v>38353</v>
      </c>
      <c r="B91" s="243">
        <v>58.309159999999999</v>
      </c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5"/>
      <c r="S91" s="235"/>
      <c r="T91" s="235"/>
      <c r="U91" s="234"/>
      <c r="V91" s="235"/>
      <c r="W91" s="235"/>
      <c r="X91" s="234"/>
      <c r="Y91" s="234"/>
      <c r="Z91" s="235"/>
      <c r="AA91" s="235"/>
      <c r="AB91" s="234"/>
      <c r="AC91" s="234"/>
      <c r="AD91" s="234"/>
      <c r="AE91" s="235"/>
      <c r="AF91" s="234"/>
      <c r="AG91" s="235"/>
      <c r="AH91" s="235"/>
    </row>
    <row r="92" spans="1:34" customFormat="1" x14ac:dyDescent="0.25">
      <c r="A92" s="225">
        <v>38384</v>
      </c>
      <c r="B92" s="243">
        <v>58.503430999999999</v>
      </c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5"/>
      <c r="S92" s="235"/>
      <c r="T92" s="235"/>
      <c r="U92" s="234"/>
      <c r="V92" s="235"/>
      <c r="W92" s="235"/>
      <c r="X92" s="234"/>
      <c r="Y92" s="234"/>
      <c r="Z92" s="235"/>
      <c r="AA92" s="235"/>
      <c r="AB92" s="234"/>
      <c r="AC92" s="234"/>
      <c r="AD92" s="234"/>
      <c r="AE92" s="235"/>
      <c r="AF92" s="234"/>
      <c r="AG92" s="235"/>
      <c r="AH92" s="235"/>
    </row>
    <row r="93" spans="1:34" customFormat="1" x14ac:dyDescent="0.25">
      <c r="A93" s="226">
        <v>38412</v>
      </c>
      <c r="B93" s="243">
        <v>58.767121000000003</v>
      </c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5"/>
      <c r="S93" s="235"/>
      <c r="T93" s="235"/>
      <c r="U93" s="234"/>
      <c r="V93" s="235"/>
      <c r="W93" s="235"/>
      <c r="X93" s="234"/>
      <c r="Y93" s="234"/>
      <c r="Z93" s="235"/>
      <c r="AA93" s="235"/>
      <c r="AB93" s="234"/>
      <c r="AC93" s="234"/>
      <c r="AD93" s="234"/>
      <c r="AE93" s="235"/>
      <c r="AF93" s="234"/>
      <c r="AG93" s="235"/>
      <c r="AH93" s="235"/>
    </row>
    <row r="94" spans="1:34" customFormat="1" x14ac:dyDescent="0.25">
      <c r="A94" s="227">
        <v>38443</v>
      </c>
      <c r="B94" s="243">
        <v>58.976415000000003</v>
      </c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5"/>
      <c r="S94" s="235"/>
      <c r="T94" s="235"/>
      <c r="U94" s="234"/>
      <c r="V94" s="235"/>
      <c r="W94" s="235"/>
      <c r="X94" s="234"/>
      <c r="Y94" s="234"/>
      <c r="Z94" s="235"/>
      <c r="AA94" s="235"/>
      <c r="AB94" s="234"/>
      <c r="AC94" s="234"/>
      <c r="AD94" s="234"/>
      <c r="AE94" s="235"/>
      <c r="AF94" s="234"/>
      <c r="AG94" s="235"/>
      <c r="AH94" s="235"/>
    </row>
    <row r="95" spans="1:34" customFormat="1" x14ac:dyDescent="0.25">
      <c r="A95" s="228">
        <v>38473</v>
      </c>
      <c r="B95" s="243">
        <v>58.828251000000002</v>
      </c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5"/>
      <c r="S95" s="235"/>
      <c r="T95" s="235"/>
      <c r="U95" s="234"/>
      <c r="V95" s="235"/>
      <c r="W95" s="235"/>
      <c r="X95" s="234"/>
      <c r="Y95" s="234"/>
      <c r="Z95" s="235"/>
      <c r="AA95" s="235"/>
      <c r="AB95" s="234"/>
      <c r="AC95" s="234"/>
      <c r="AD95" s="234"/>
      <c r="AE95" s="235"/>
      <c r="AF95" s="234"/>
      <c r="AG95" s="235"/>
      <c r="AH95" s="235"/>
    </row>
    <row r="96" spans="1:34" customFormat="1" x14ac:dyDescent="0.25">
      <c r="A96" s="229">
        <v>38504</v>
      </c>
      <c r="B96" s="243">
        <v>58.771782999999999</v>
      </c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5"/>
      <c r="S96" s="235"/>
      <c r="T96" s="235"/>
      <c r="U96" s="234"/>
      <c r="V96" s="235"/>
      <c r="W96" s="235"/>
      <c r="X96" s="234"/>
      <c r="Y96" s="234"/>
      <c r="Z96" s="235"/>
      <c r="AA96" s="235"/>
      <c r="AB96" s="234"/>
      <c r="AC96" s="234"/>
      <c r="AD96" s="234"/>
      <c r="AE96" s="235"/>
      <c r="AF96" s="234"/>
      <c r="AG96" s="235"/>
      <c r="AH96" s="235"/>
    </row>
    <row r="97" spans="1:34" customFormat="1" x14ac:dyDescent="0.25">
      <c r="A97" s="220">
        <v>38534</v>
      </c>
      <c r="B97" s="243">
        <v>59.001800000000003</v>
      </c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5"/>
      <c r="S97" s="235"/>
      <c r="T97" s="235"/>
      <c r="U97" s="234"/>
      <c r="V97" s="235"/>
      <c r="W97" s="235"/>
      <c r="X97" s="234"/>
      <c r="Y97" s="234"/>
      <c r="Z97" s="235"/>
      <c r="AA97" s="235"/>
      <c r="AB97" s="234"/>
      <c r="AC97" s="234"/>
      <c r="AD97" s="234"/>
      <c r="AE97" s="235"/>
      <c r="AF97" s="234"/>
      <c r="AG97" s="235"/>
      <c r="AH97" s="235"/>
    </row>
    <row r="98" spans="1:34" customFormat="1" x14ac:dyDescent="0.25">
      <c r="A98" s="221">
        <v>38565</v>
      </c>
      <c r="B98" s="243">
        <v>59.072254999999998</v>
      </c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5"/>
      <c r="S98" s="235"/>
      <c r="T98" s="235"/>
      <c r="U98" s="234"/>
      <c r="V98" s="235"/>
      <c r="W98" s="235"/>
      <c r="X98" s="234"/>
      <c r="Y98" s="234"/>
      <c r="Z98" s="235"/>
      <c r="AA98" s="235"/>
      <c r="AB98" s="234"/>
      <c r="AC98" s="234"/>
      <c r="AD98" s="234"/>
      <c r="AE98" s="235"/>
      <c r="AF98" s="234"/>
      <c r="AG98" s="235"/>
      <c r="AH98" s="235"/>
    </row>
    <row r="99" spans="1:34" customFormat="1" x14ac:dyDescent="0.25">
      <c r="A99" s="222">
        <v>38596</v>
      </c>
      <c r="B99" s="243">
        <v>59.309005999999997</v>
      </c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5"/>
      <c r="S99" s="235"/>
      <c r="T99" s="235"/>
      <c r="U99" s="234"/>
      <c r="V99" s="235"/>
      <c r="W99" s="235"/>
      <c r="X99" s="234"/>
      <c r="Y99" s="234"/>
      <c r="Z99" s="235"/>
      <c r="AA99" s="235"/>
      <c r="AB99" s="234"/>
      <c r="AC99" s="234"/>
      <c r="AD99" s="234"/>
      <c r="AE99" s="235"/>
      <c r="AF99" s="234"/>
      <c r="AG99" s="235"/>
      <c r="AH99" s="235"/>
    </row>
    <row r="100" spans="1:34" customFormat="1" x14ac:dyDescent="0.25">
      <c r="A100" s="230">
        <v>38626</v>
      </c>
      <c r="B100" s="243">
        <v>59.45458</v>
      </c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5"/>
      <c r="S100" s="235"/>
      <c r="T100" s="235"/>
      <c r="U100" s="234"/>
      <c r="V100" s="235"/>
      <c r="W100" s="235"/>
      <c r="X100" s="234"/>
      <c r="Y100" s="234"/>
      <c r="Z100" s="235"/>
      <c r="AA100" s="235"/>
      <c r="AB100" s="234"/>
      <c r="AC100" s="234"/>
      <c r="AD100" s="234"/>
      <c r="AE100" s="235"/>
      <c r="AF100" s="234"/>
      <c r="AG100" s="235"/>
      <c r="AH100" s="235"/>
    </row>
    <row r="101" spans="1:34" customFormat="1" x14ac:dyDescent="0.25">
      <c r="A101" s="231">
        <v>38657</v>
      </c>
      <c r="B101" s="243">
        <v>59.882492999999997</v>
      </c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5"/>
      <c r="S101" s="235"/>
      <c r="T101" s="235"/>
      <c r="U101" s="234"/>
      <c r="V101" s="235"/>
      <c r="W101" s="235"/>
      <c r="X101" s="234"/>
      <c r="Y101" s="234"/>
      <c r="Z101" s="235"/>
      <c r="AA101" s="235"/>
      <c r="AB101" s="234"/>
      <c r="AC101" s="234"/>
      <c r="AD101" s="234"/>
      <c r="AE101" s="235"/>
      <c r="AF101" s="234"/>
      <c r="AG101" s="235"/>
      <c r="AH101" s="235"/>
    </row>
    <row r="102" spans="1:34" customFormat="1" x14ac:dyDescent="0.25">
      <c r="A102" s="232">
        <v>38687</v>
      </c>
      <c r="B102" s="243">
        <v>60.250312000000001</v>
      </c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5"/>
      <c r="S102" s="235"/>
      <c r="T102" s="235"/>
      <c r="U102" s="234"/>
      <c r="V102" s="235"/>
      <c r="W102" s="235"/>
      <c r="X102" s="234"/>
      <c r="Y102" s="234"/>
      <c r="Z102" s="235"/>
      <c r="AA102" s="235"/>
      <c r="AB102" s="234"/>
      <c r="AC102" s="234"/>
      <c r="AD102" s="234"/>
      <c r="AE102" s="235"/>
      <c r="AF102" s="234"/>
      <c r="AG102" s="235"/>
      <c r="AH102" s="235"/>
    </row>
    <row r="103" spans="1:34" customFormat="1" x14ac:dyDescent="0.25">
      <c r="A103" s="224">
        <v>38718</v>
      </c>
      <c r="B103" s="243">
        <v>60.603625999999998</v>
      </c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5"/>
      <c r="S103" s="235"/>
      <c r="T103" s="235"/>
      <c r="U103" s="234"/>
      <c r="V103" s="235"/>
      <c r="W103" s="235"/>
      <c r="X103" s="234"/>
      <c r="Y103" s="234"/>
      <c r="Z103" s="235"/>
      <c r="AA103" s="235"/>
      <c r="AB103" s="234"/>
      <c r="AC103" s="234"/>
      <c r="AD103" s="234"/>
      <c r="AE103" s="235"/>
      <c r="AF103" s="234"/>
      <c r="AG103" s="235"/>
      <c r="AH103" s="235"/>
    </row>
    <row r="104" spans="1:34" customFormat="1" x14ac:dyDescent="0.25">
      <c r="A104" s="225">
        <v>38749</v>
      </c>
      <c r="B104" s="243">
        <v>60.696357999999996</v>
      </c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5"/>
      <c r="S104" s="235"/>
      <c r="T104" s="235"/>
      <c r="U104" s="234"/>
      <c r="V104" s="235"/>
      <c r="W104" s="235"/>
      <c r="X104" s="234"/>
      <c r="Y104" s="234"/>
      <c r="Z104" s="235"/>
      <c r="AA104" s="235"/>
      <c r="AB104" s="234"/>
      <c r="AC104" s="234"/>
      <c r="AD104" s="234"/>
      <c r="AE104" s="235"/>
      <c r="AF104" s="234"/>
      <c r="AG104" s="235"/>
      <c r="AH104" s="235"/>
    </row>
    <row r="105" spans="1:34" customFormat="1" x14ac:dyDescent="0.25">
      <c r="A105" s="226">
        <v>38777</v>
      </c>
      <c r="B105" s="243">
        <v>60.772511999999999</v>
      </c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5"/>
      <c r="S105" s="235"/>
      <c r="T105" s="235"/>
      <c r="U105" s="234"/>
      <c r="V105" s="235"/>
      <c r="W105" s="235"/>
      <c r="X105" s="234"/>
      <c r="Y105" s="234"/>
      <c r="Z105" s="235"/>
      <c r="AA105" s="235"/>
      <c r="AB105" s="234"/>
      <c r="AC105" s="234"/>
      <c r="AD105" s="234"/>
      <c r="AE105" s="235"/>
      <c r="AF105" s="234"/>
      <c r="AG105" s="235"/>
      <c r="AH105" s="235"/>
    </row>
    <row r="106" spans="1:34" customFormat="1" x14ac:dyDescent="0.25">
      <c r="A106" s="227">
        <v>38808</v>
      </c>
      <c r="B106" s="243">
        <v>60.861617000000003</v>
      </c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5"/>
      <c r="S106" s="235"/>
      <c r="T106" s="235"/>
      <c r="U106" s="234"/>
      <c r="V106" s="235"/>
      <c r="W106" s="235"/>
      <c r="X106" s="234"/>
      <c r="Y106" s="234"/>
      <c r="Z106" s="235"/>
      <c r="AA106" s="235"/>
      <c r="AB106" s="234"/>
      <c r="AC106" s="234"/>
      <c r="AD106" s="234"/>
      <c r="AE106" s="235"/>
      <c r="AF106" s="234"/>
      <c r="AG106" s="235"/>
      <c r="AH106" s="235"/>
    </row>
    <row r="107" spans="1:34" customFormat="1" x14ac:dyDescent="0.25">
      <c r="A107" s="228">
        <v>38838</v>
      </c>
      <c r="B107" s="243">
        <v>60.590674999999997</v>
      </c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5"/>
      <c r="S107" s="235"/>
      <c r="T107" s="235"/>
      <c r="U107" s="234"/>
      <c r="V107" s="235"/>
      <c r="W107" s="235"/>
      <c r="X107" s="234"/>
      <c r="Y107" s="234"/>
      <c r="Z107" s="235"/>
      <c r="AA107" s="235"/>
      <c r="AB107" s="234"/>
      <c r="AC107" s="234"/>
      <c r="AD107" s="234"/>
      <c r="AE107" s="235"/>
      <c r="AF107" s="234"/>
      <c r="AG107" s="235"/>
      <c r="AH107" s="235"/>
    </row>
    <row r="108" spans="1:34" customFormat="1" x14ac:dyDescent="0.25">
      <c r="A108" s="229">
        <v>38869</v>
      </c>
      <c r="B108" s="243">
        <v>60.642997999999999</v>
      </c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5"/>
      <c r="S108" s="235"/>
      <c r="T108" s="235"/>
      <c r="U108" s="234"/>
      <c r="V108" s="235"/>
      <c r="W108" s="235"/>
      <c r="X108" s="234"/>
      <c r="Y108" s="234"/>
      <c r="Z108" s="235"/>
      <c r="AA108" s="235"/>
      <c r="AB108" s="234"/>
      <c r="AC108" s="234"/>
      <c r="AD108" s="234"/>
      <c r="AE108" s="235"/>
      <c r="AF108" s="234"/>
      <c r="AG108" s="235"/>
      <c r="AH108" s="235"/>
    </row>
    <row r="109" spans="1:34" customFormat="1" x14ac:dyDescent="0.25">
      <c r="A109" s="220">
        <v>38899</v>
      </c>
      <c r="B109" s="243">
        <v>60.809294000000001</v>
      </c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5"/>
      <c r="S109" s="235"/>
      <c r="T109" s="235"/>
      <c r="U109" s="234"/>
      <c r="V109" s="235"/>
      <c r="W109" s="235"/>
      <c r="X109" s="234"/>
      <c r="Y109" s="234"/>
      <c r="Z109" s="235"/>
      <c r="AA109" s="235"/>
      <c r="AB109" s="234"/>
      <c r="AC109" s="234"/>
      <c r="AD109" s="234"/>
      <c r="AE109" s="235"/>
      <c r="AF109" s="234"/>
      <c r="AG109" s="235"/>
      <c r="AH109" s="235"/>
    </row>
    <row r="110" spans="1:34" customFormat="1" x14ac:dyDescent="0.25">
      <c r="A110" s="221">
        <v>38930</v>
      </c>
      <c r="B110" s="243">
        <v>61.119608999999997</v>
      </c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5"/>
      <c r="S110" s="235"/>
      <c r="T110" s="235"/>
      <c r="U110" s="234"/>
      <c r="V110" s="235"/>
      <c r="W110" s="235"/>
      <c r="X110" s="234"/>
      <c r="Y110" s="234"/>
      <c r="Z110" s="235"/>
      <c r="AA110" s="235"/>
      <c r="AB110" s="234"/>
      <c r="AC110" s="234"/>
      <c r="AD110" s="234"/>
      <c r="AE110" s="235"/>
      <c r="AF110" s="234"/>
      <c r="AG110" s="235"/>
      <c r="AH110" s="235"/>
    </row>
    <row r="111" spans="1:34" customFormat="1" x14ac:dyDescent="0.25">
      <c r="A111" s="222">
        <v>38961</v>
      </c>
      <c r="B111" s="243">
        <v>61.736612000000001</v>
      </c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5"/>
      <c r="S111" s="235"/>
      <c r="T111" s="235"/>
      <c r="U111" s="234"/>
      <c r="V111" s="235"/>
      <c r="W111" s="235"/>
      <c r="X111" s="234"/>
      <c r="Y111" s="234"/>
      <c r="Z111" s="235"/>
      <c r="AA111" s="235"/>
      <c r="AB111" s="234"/>
      <c r="AC111" s="234"/>
      <c r="AD111" s="234"/>
      <c r="AE111" s="235"/>
      <c r="AF111" s="234"/>
      <c r="AG111" s="235"/>
      <c r="AH111" s="235"/>
    </row>
    <row r="112" spans="1:34" customFormat="1" x14ac:dyDescent="0.25">
      <c r="A112" s="230">
        <v>38991</v>
      </c>
      <c r="B112" s="243">
        <v>62.006518999999997</v>
      </c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5"/>
      <c r="S112" s="235"/>
      <c r="T112" s="235"/>
      <c r="U112" s="234"/>
      <c r="V112" s="235"/>
      <c r="W112" s="235"/>
      <c r="X112" s="234"/>
      <c r="Y112" s="234"/>
      <c r="Z112" s="235"/>
      <c r="AA112" s="235"/>
      <c r="AB112" s="234"/>
      <c r="AC112" s="234"/>
      <c r="AD112" s="234"/>
      <c r="AE112" s="235"/>
      <c r="AF112" s="234"/>
      <c r="AG112" s="235"/>
      <c r="AH112" s="235"/>
    </row>
    <row r="113" spans="1:34" customFormat="1" x14ac:dyDescent="0.25">
      <c r="A113" s="231">
        <v>39022</v>
      </c>
      <c r="B113" s="243">
        <v>62.331856999999999</v>
      </c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5"/>
      <c r="S113" s="235"/>
      <c r="T113" s="235"/>
      <c r="U113" s="234"/>
      <c r="V113" s="235"/>
      <c r="W113" s="235"/>
      <c r="X113" s="234"/>
      <c r="Y113" s="234"/>
      <c r="Z113" s="235"/>
      <c r="AA113" s="235"/>
      <c r="AB113" s="234"/>
      <c r="AC113" s="234"/>
      <c r="AD113" s="234"/>
      <c r="AE113" s="235"/>
      <c r="AF113" s="234"/>
      <c r="AG113" s="235"/>
      <c r="AH113" s="235"/>
    </row>
    <row r="114" spans="1:34" customFormat="1" x14ac:dyDescent="0.25">
      <c r="A114" s="232">
        <v>39052</v>
      </c>
      <c r="B114" s="243">
        <v>62.692424000000003</v>
      </c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5"/>
      <c r="S114" s="235"/>
      <c r="T114" s="235"/>
      <c r="U114" s="234"/>
      <c r="V114" s="235"/>
      <c r="W114" s="235"/>
      <c r="X114" s="234"/>
      <c r="Y114" s="234"/>
      <c r="Z114" s="235"/>
      <c r="AA114" s="235"/>
      <c r="AB114" s="234"/>
      <c r="AC114" s="234"/>
      <c r="AD114" s="234"/>
      <c r="AE114" s="235"/>
      <c r="AF114" s="234"/>
      <c r="AG114" s="235"/>
      <c r="AH114" s="235"/>
    </row>
    <row r="115" spans="1:34" customFormat="1" x14ac:dyDescent="0.25">
      <c r="A115" s="224">
        <v>39083</v>
      </c>
      <c r="B115" s="243">
        <v>63.016207999999999</v>
      </c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5"/>
      <c r="S115" s="235"/>
      <c r="T115" s="235"/>
      <c r="U115" s="234"/>
      <c r="V115" s="235"/>
      <c r="W115" s="235"/>
      <c r="X115" s="234"/>
      <c r="Y115" s="234"/>
      <c r="Z115" s="235"/>
      <c r="AA115" s="235"/>
      <c r="AB115" s="234"/>
      <c r="AC115" s="234"/>
      <c r="AD115" s="234"/>
      <c r="AE115" s="235"/>
      <c r="AF115" s="234"/>
      <c r="AG115" s="235"/>
      <c r="AH115" s="235"/>
    </row>
    <row r="116" spans="1:34" customFormat="1" x14ac:dyDescent="0.25">
      <c r="A116" s="225">
        <v>39114</v>
      </c>
      <c r="B116" s="243">
        <v>63.192346999999998</v>
      </c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5"/>
      <c r="S116" s="235"/>
      <c r="T116" s="235"/>
      <c r="U116" s="234"/>
      <c r="V116" s="235"/>
      <c r="W116" s="235"/>
      <c r="X116" s="234"/>
      <c r="Y116" s="234"/>
      <c r="Z116" s="235"/>
      <c r="AA116" s="235"/>
      <c r="AB116" s="234"/>
      <c r="AC116" s="234"/>
      <c r="AD116" s="234"/>
      <c r="AE116" s="235"/>
      <c r="AF116" s="234"/>
      <c r="AG116" s="235"/>
      <c r="AH116" s="235"/>
    </row>
    <row r="117" spans="1:34" customFormat="1" x14ac:dyDescent="0.25">
      <c r="A117" s="226">
        <v>39142</v>
      </c>
      <c r="B117" s="243">
        <v>63.329113</v>
      </c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5"/>
      <c r="S117" s="235"/>
      <c r="T117" s="235"/>
      <c r="U117" s="234"/>
      <c r="V117" s="235"/>
      <c r="W117" s="235"/>
      <c r="X117" s="234"/>
      <c r="Y117" s="234"/>
      <c r="Z117" s="235"/>
      <c r="AA117" s="235"/>
      <c r="AB117" s="234"/>
      <c r="AC117" s="234"/>
      <c r="AD117" s="234"/>
      <c r="AE117" s="235"/>
      <c r="AF117" s="234"/>
      <c r="AG117" s="235"/>
      <c r="AH117" s="235"/>
    </row>
    <row r="118" spans="1:34" customFormat="1" x14ac:dyDescent="0.25">
      <c r="A118" s="227">
        <v>39173</v>
      </c>
      <c r="B118" s="243">
        <v>63.291294999999998</v>
      </c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5"/>
      <c r="S118" s="235"/>
      <c r="T118" s="235"/>
      <c r="U118" s="234"/>
      <c r="V118" s="235"/>
      <c r="W118" s="235"/>
      <c r="X118" s="234"/>
      <c r="Y118" s="234"/>
      <c r="Z118" s="235"/>
      <c r="AA118" s="235"/>
      <c r="AB118" s="234"/>
      <c r="AC118" s="234"/>
      <c r="AD118" s="234"/>
      <c r="AE118" s="235"/>
      <c r="AF118" s="234"/>
      <c r="AG118" s="235"/>
      <c r="AH118" s="235"/>
    </row>
    <row r="119" spans="1:34" customFormat="1" x14ac:dyDescent="0.25">
      <c r="A119" s="228">
        <v>39203</v>
      </c>
      <c r="B119" s="243">
        <v>62.982534000000001</v>
      </c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5"/>
      <c r="S119" s="235"/>
      <c r="T119" s="235"/>
      <c r="U119" s="234"/>
      <c r="V119" s="235"/>
      <c r="W119" s="235"/>
      <c r="X119" s="234"/>
      <c r="Y119" s="234"/>
      <c r="Z119" s="235"/>
      <c r="AA119" s="235"/>
      <c r="AB119" s="234"/>
      <c r="AC119" s="234"/>
      <c r="AD119" s="234"/>
      <c r="AE119" s="235"/>
      <c r="AF119" s="234"/>
      <c r="AG119" s="235"/>
      <c r="AH119" s="235"/>
    </row>
    <row r="120" spans="1:34" customFormat="1" x14ac:dyDescent="0.25">
      <c r="A120" s="229">
        <v>39234</v>
      </c>
      <c r="B120" s="243">
        <v>63.058169999999997</v>
      </c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5"/>
      <c r="S120" s="235"/>
      <c r="T120" s="235"/>
      <c r="U120" s="234"/>
      <c r="V120" s="235"/>
      <c r="W120" s="235"/>
      <c r="X120" s="234"/>
      <c r="Y120" s="234"/>
      <c r="Z120" s="235"/>
      <c r="AA120" s="235"/>
      <c r="AB120" s="234"/>
      <c r="AC120" s="234"/>
      <c r="AD120" s="234"/>
      <c r="AE120" s="235"/>
      <c r="AF120" s="234"/>
      <c r="AG120" s="235"/>
      <c r="AH120" s="235"/>
    </row>
    <row r="121" spans="1:34" customFormat="1" x14ac:dyDescent="0.25">
      <c r="A121" s="220">
        <v>39264</v>
      </c>
      <c r="B121" s="243">
        <v>63.326005000000002</v>
      </c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5"/>
      <c r="S121" s="235"/>
      <c r="T121" s="235"/>
      <c r="U121" s="234"/>
      <c r="V121" s="235"/>
      <c r="W121" s="235"/>
      <c r="X121" s="234"/>
      <c r="Y121" s="234"/>
      <c r="Z121" s="235"/>
      <c r="AA121" s="235"/>
      <c r="AB121" s="234"/>
      <c r="AC121" s="234"/>
      <c r="AD121" s="234"/>
      <c r="AE121" s="235"/>
      <c r="AF121" s="234"/>
      <c r="AG121" s="235"/>
      <c r="AH121" s="235"/>
    </row>
    <row r="122" spans="1:34" customFormat="1" x14ac:dyDescent="0.25">
      <c r="A122" s="221">
        <v>39295</v>
      </c>
      <c r="B122" s="243">
        <v>63.583995999999999</v>
      </c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5"/>
      <c r="S122" s="235"/>
      <c r="T122" s="235"/>
      <c r="U122" s="234"/>
      <c r="V122" s="235"/>
      <c r="W122" s="235"/>
      <c r="X122" s="234"/>
      <c r="Y122" s="234"/>
      <c r="Z122" s="235"/>
      <c r="AA122" s="235"/>
      <c r="AB122" s="234"/>
      <c r="AC122" s="234"/>
      <c r="AD122" s="234"/>
      <c r="AE122" s="235"/>
      <c r="AF122" s="234"/>
      <c r="AG122" s="235"/>
      <c r="AH122" s="235"/>
    </row>
    <row r="123" spans="1:34" customFormat="1" x14ac:dyDescent="0.25">
      <c r="A123" s="222">
        <v>39326</v>
      </c>
      <c r="B123" s="243">
        <v>64.077703</v>
      </c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5"/>
      <c r="S123" s="235"/>
      <c r="T123" s="235"/>
      <c r="U123" s="234"/>
      <c r="V123" s="235"/>
      <c r="W123" s="235"/>
      <c r="X123" s="234"/>
      <c r="Y123" s="234"/>
      <c r="Z123" s="235"/>
      <c r="AA123" s="235"/>
      <c r="AB123" s="234"/>
      <c r="AC123" s="234"/>
      <c r="AD123" s="234"/>
      <c r="AE123" s="235"/>
      <c r="AF123" s="234"/>
      <c r="AG123" s="235"/>
      <c r="AH123" s="235"/>
    </row>
    <row r="124" spans="1:34" customFormat="1" x14ac:dyDescent="0.25">
      <c r="A124" s="230">
        <v>39356</v>
      </c>
      <c r="B124" s="243">
        <v>64.327404999999999</v>
      </c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5"/>
      <c r="S124" s="235"/>
      <c r="T124" s="235"/>
      <c r="U124" s="234"/>
      <c r="V124" s="235"/>
      <c r="W124" s="235"/>
      <c r="X124" s="234"/>
      <c r="Y124" s="234"/>
      <c r="Z124" s="235"/>
      <c r="AA124" s="235"/>
      <c r="AB124" s="234"/>
      <c r="AC124" s="234"/>
      <c r="AD124" s="234"/>
      <c r="AE124" s="235"/>
      <c r="AF124" s="234"/>
      <c r="AG124" s="235"/>
      <c r="AH124" s="235"/>
    </row>
    <row r="125" spans="1:34" customFormat="1" x14ac:dyDescent="0.25">
      <c r="A125" s="231">
        <v>39387</v>
      </c>
      <c r="B125" s="243">
        <v>64.781221000000002</v>
      </c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5"/>
      <c r="S125" s="235"/>
      <c r="T125" s="235"/>
      <c r="U125" s="234"/>
      <c r="V125" s="235"/>
      <c r="W125" s="235"/>
      <c r="X125" s="234"/>
      <c r="Y125" s="234"/>
      <c r="Z125" s="235"/>
      <c r="AA125" s="235"/>
      <c r="AB125" s="234"/>
      <c r="AC125" s="234"/>
      <c r="AD125" s="234"/>
      <c r="AE125" s="235"/>
      <c r="AF125" s="234"/>
      <c r="AG125" s="235"/>
      <c r="AH125" s="235"/>
    </row>
    <row r="126" spans="1:34" customFormat="1" x14ac:dyDescent="0.25">
      <c r="A126" s="232">
        <v>39417</v>
      </c>
      <c r="B126" s="243">
        <v>65.049055999999993</v>
      </c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5"/>
      <c r="S126" s="235"/>
      <c r="T126" s="235"/>
      <c r="U126" s="234"/>
      <c r="V126" s="235"/>
      <c r="W126" s="235"/>
      <c r="X126" s="234"/>
      <c r="Y126" s="234"/>
      <c r="Z126" s="235"/>
      <c r="AA126" s="235"/>
      <c r="AB126" s="234"/>
      <c r="AC126" s="234"/>
      <c r="AD126" s="234"/>
      <c r="AE126" s="235"/>
      <c r="AF126" s="234"/>
      <c r="AG126" s="235"/>
      <c r="AH126" s="235"/>
    </row>
    <row r="127" spans="1:34" customFormat="1" x14ac:dyDescent="0.25">
      <c r="A127" s="224">
        <v>39448</v>
      </c>
      <c r="B127" s="243">
        <v>65.350564000000006</v>
      </c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5"/>
      <c r="S127" s="235"/>
      <c r="T127" s="235"/>
      <c r="U127" s="234"/>
      <c r="V127" s="235"/>
      <c r="W127" s="235"/>
      <c r="X127" s="234"/>
      <c r="Y127" s="234"/>
      <c r="Z127" s="235"/>
      <c r="AA127" s="235"/>
      <c r="AB127" s="234"/>
      <c r="AC127" s="234"/>
      <c r="AD127" s="234"/>
      <c r="AE127" s="235"/>
      <c r="AF127" s="234"/>
      <c r="AG127" s="235"/>
      <c r="AH127" s="235"/>
    </row>
    <row r="128" spans="1:34" customFormat="1" x14ac:dyDescent="0.25">
      <c r="A128" s="225">
        <v>39479</v>
      </c>
      <c r="B128" s="243">
        <v>65.544833999999994</v>
      </c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5"/>
      <c r="S128" s="235"/>
      <c r="T128" s="235"/>
      <c r="U128" s="234"/>
      <c r="V128" s="235"/>
      <c r="W128" s="235"/>
      <c r="X128" s="234"/>
      <c r="Y128" s="234"/>
      <c r="Z128" s="235"/>
      <c r="AA128" s="235"/>
      <c r="AB128" s="234"/>
      <c r="AC128" s="234"/>
      <c r="AD128" s="234"/>
      <c r="AE128" s="235"/>
      <c r="AF128" s="234"/>
      <c r="AG128" s="235"/>
      <c r="AH128" s="235"/>
    </row>
    <row r="129" spans="1:34" customFormat="1" x14ac:dyDescent="0.25">
      <c r="A129" s="226">
        <v>39508</v>
      </c>
      <c r="B129" s="243">
        <v>66.019891000000001</v>
      </c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5"/>
      <c r="S129" s="235"/>
      <c r="T129" s="235"/>
      <c r="U129" s="234"/>
      <c r="V129" s="235"/>
      <c r="W129" s="235"/>
      <c r="X129" s="234"/>
      <c r="Y129" s="234"/>
      <c r="Z129" s="235"/>
      <c r="AA129" s="235"/>
      <c r="AB129" s="234"/>
      <c r="AC129" s="234"/>
      <c r="AD129" s="234"/>
      <c r="AE129" s="235"/>
      <c r="AF129" s="234"/>
      <c r="AG129" s="235"/>
      <c r="AH129" s="235"/>
    </row>
    <row r="130" spans="1:34" customFormat="1" x14ac:dyDescent="0.25">
      <c r="A130" s="227">
        <v>39539</v>
      </c>
      <c r="B130" s="243">
        <v>66.170126999999994</v>
      </c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5"/>
      <c r="S130" s="235"/>
      <c r="T130" s="235"/>
      <c r="U130" s="234"/>
      <c r="V130" s="235"/>
      <c r="W130" s="235"/>
      <c r="X130" s="234"/>
      <c r="Y130" s="234"/>
      <c r="Z130" s="235"/>
      <c r="AA130" s="235"/>
      <c r="AB130" s="234"/>
      <c r="AC130" s="234"/>
      <c r="AD130" s="234"/>
      <c r="AE130" s="235"/>
      <c r="AF130" s="234"/>
      <c r="AG130" s="235"/>
      <c r="AH130" s="235"/>
    </row>
    <row r="131" spans="1:34" customFormat="1" x14ac:dyDescent="0.25">
      <c r="A131" s="228">
        <v>39569</v>
      </c>
      <c r="B131" s="243">
        <v>66.098635000000002</v>
      </c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5"/>
      <c r="S131" s="235"/>
      <c r="T131" s="235"/>
      <c r="U131" s="234"/>
      <c r="V131" s="235"/>
      <c r="W131" s="235"/>
      <c r="X131" s="234"/>
      <c r="Y131" s="234"/>
      <c r="Z131" s="235"/>
      <c r="AA131" s="235"/>
      <c r="AB131" s="234"/>
      <c r="AC131" s="234"/>
      <c r="AD131" s="234"/>
      <c r="AE131" s="235"/>
      <c r="AF131" s="234"/>
      <c r="AG131" s="235"/>
      <c r="AH131" s="235"/>
    </row>
    <row r="132" spans="1:34" customFormat="1" x14ac:dyDescent="0.25">
      <c r="A132" s="229">
        <v>39600</v>
      </c>
      <c r="B132" s="243">
        <v>66.372168000000002</v>
      </c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5"/>
      <c r="S132" s="235"/>
      <c r="T132" s="235"/>
      <c r="U132" s="234"/>
      <c r="V132" s="235"/>
      <c r="W132" s="235"/>
      <c r="X132" s="234"/>
      <c r="Y132" s="234"/>
      <c r="Z132" s="235"/>
      <c r="AA132" s="235"/>
      <c r="AB132" s="234"/>
      <c r="AC132" s="234"/>
      <c r="AD132" s="234"/>
      <c r="AE132" s="235"/>
      <c r="AF132" s="234"/>
      <c r="AG132" s="235"/>
      <c r="AH132" s="235"/>
    </row>
    <row r="133" spans="1:34" customFormat="1" x14ac:dyDescent="0.25">
      <c r="A133" s="220">
        <v>39630</v>
      </c>
      <c r="B133" s="243">
        <v>66.742058999999998</v>
      </c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5"/>
      <c r="S133" s="235"/>
      <c r="T133" s="235"/>
      <c r="U133" s="234"/>
      <c r="V133" s="235"/>
      <c r="W133" s="235"/>
      <c r="X133" s="234"/>
      <c r="Y133" s="234"/>
      <c r="Z133" s="235"/>
      <c r="AA133" s="235"/>
      <c r="AB133" s="234"/>
      <c r="AC133" s="234"/>
      <c r="AD133" s="234"/>
      <c r="AE133" s="235"/>
      <c r="AF133" s="234"/>
      <c r="AG133" s="235"/>
      <c r="AH133" s="235"/>
    </row>
    <row r="134" spans="1:34" customFormat="1" x14ac:dyDescent="0.25">
      <c r="A134" s="221">
        <v>39661</v>
      </c>
      <c r="B134" s="243">
        <v>67.127492000000004</v>
      </c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5"/>
      <c r="S134" s="235"/>
      <c r="T134" s="235"/>
      <c r="U134" s="234"/>
      <c r="V134" s="235"/>
      <c r="W134" s="235"/>
      <c r="X134" s="234"/>
      <c r="Y134" s="234"/>
      <c r="Z134" s="235"/>
      <c r="AA134" s="235"/>
      <c r="AB134" s="234"/>
      <c r="AC134" s="234"/>
      <c r="AD134" s="234"/>
      <c r="AE134" s="235"/>
      <c r="AF134" s="234"/>
      <c r="AG134" s="235"/>
      <c r="AH134" s="235"/>
    </row>
    <row r="135" spans="1:34" customFormat="1" x14ac:dyDescent="0.25">
      <c r="A135" s="222">
        <v>39692</v>
      </c>
      <c r="B135" s="243">
        <v>67.584935000000002</v>
      </c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5"/>
      <c r="S135" s="235"/>
      <c r="T135" s="235"/>
      <c r="U135" s="234"/>
      <c r="V135" s="235"/>
      <c r="W135" s="235"/>
      <c r="X135" s="234"/>
      <c r="Y135" s="234"/>
      <c r="Z135" s="235"/>
      <c r="AA135" s="235"/>
      <c r="AB135" s="234"/>
      <c r="AC135" s="234"/>
      <c r="AD135" s="234"/>
      <c r="AE135" s="235"/>
      <c r="AF135" s="234"/>
      <c r="AG135" s="235"/>
      <c r="AH135" s="235"/>
    </row>
    <row r="136" spans="1:34" customFormat="1" x14ac:dyDescent="0.25">
      <c r="A136" s="230">
        <v>39722</v>
      </c>
      <c r="B136" s="243">
        <v>68.045485999999997</v>
      </c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5"/>
      <c r="S136" s="235"/>
      <c r="T136" s="235"/>
      <c r="U136" s="234"/>
      <c r="V136" s="235"/>
      <c r="W136" s="235"/>
      <c r="X136" s="234"/>
      <c r="Y136" s="234"/>
      <c r="Z136" s="235"/>
      <c r="AA136" s="235"/>
      <c r="AB136" s="234"/>
      <c r="AC136" s="234"/>
      <c r="AD136" s="234"/>
      <c r="AE136" s="235"/>
      <c r="AF136" s="234"/>
      <c r="AG136" s="235"/>
      <c r="AH136" s="235"/>
    </row>
    <row r="137" spans="1:34" customFormat="1" x14ac:dyDescent="0.25">
      <c r="A137" s="231">
        <v>39753</v>
      </c>
      <c r="B137" s="243">
        <v>68.818942000000007</v>
      </c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5"/>
      <c r="S137" s="235"/>
      <c r="T137" s="235"/>
      <c r="U137" s="234"/>
      <c r="V137" s="235"/>
      <c r="W137" s="235"/>
      <c r="X137" s="234"/>
      <c r="Y137" s="234"/>
      <c r="Z137" s="235"/>
      <c r="AA137" s="235"/>
      <c r="AB137" s="234"/>
      <c r="AC137" s="234"/>
      <c r="AD137" s="234"/>
      <c r="AE137" s="235"/>
      <c r="AF137" s="234"/>
      <c r="AG137" s="235"/>
      <c r="AH137" s="235"/>
    </row>
    <row r="138" spans="1:34" customFormat="1" x14ac:dyDescent="0.25">
      <c r="A138" s="232">
        <v>39783</v>
      </c>
      <c r="B138" s="243">
        <v>69.295552000000001</v>
      </c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5"/>
      <c r="S138" s="235"/>
      <c r="T138" s="235"/>
      <c r="U138" s="234"/>
      <c r="V138" s="235"/>
      <c r="W138" s="235"/>
      <c r="X138" s="234"/>
      <c r="Y138" s="234"/>
      <c r="Z138" s="235"/>
      <c r="AA138" s="235"/>
      <c r="AB138" s="234"/>
      <c r="AC138" s="234"/>
      <c r="AD138" s="234"/>
      <c r="AE138" s="235"/>
      <c r="AF138" s="234"/>
      <c r="AG138" s="235"/>
      <c r="AH138" s="235"/>
    </row>
    <row r="139" spans="1:34" customFormat="1" x14ac:dyDescent="0.25">
      <c r="A139" s="224">
        <v>39814</v>
      </c>
      <c r="B139" s="243">
        <v>69.456148999999996</v>
      </c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5"/>
      <c r="S139" s="235"/>
      <c r="T139" s="235"/>
      <c r="U139" s="234"/>
      <c r="V139" s="235"/>
      <c r="W139" s="235"/>
      <c r="X139" s="234"/>
      <c r="Y139" s="234"/>
      <c r="Z139" s="235"/>
      <c r="AA139" s="235"/>
      <c r="AB139" s="234"/>
      <c r="AC139" s="234"/>
      <c r="AD139" s="234"/>
      <c r="AE139" s="235"/>
      <c r="AF139" s="234"/>
      <c r="AG139" s="235"/>
      <c r="AH139" s="235"/>
    </row>
    <row r="140" spans="1:34" customFormat="1" x14ac:dyDescent="0.25">
      <c r="A140" s="225">
        <v>39845</v>
      </c>
      <c r="B140" s="243">
        <v>69.609493999999998</v>
      </c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5"/>
      <c r="S140" s="235"/>
      <c r="T140" s="235"/>
      <c r="U140" s="234"/>
      <c r="V140" s="235"/>
      <c r="W140" s="235"/>
      <c r="X140" s="234"/>
      <c r="Y140" s="234"/>
      <c r="Z140" s="235"/>
      <c r="AA140" s="235"/>
      <c r="AB140" s="234"/>
      <c r="AC140" s="234"/>
      <c r="AD140" s="234"/>
      <c r="AE140" s="235"/>
      <c r="AF140" s="234"/>
      <c r="AG140" s="235"/>
      <c r="AH140" s="235"/>
    </row>
    <row r="141" spans="1:34" customFormat="1" x14ac:dyDescent="0.25">
      <c r="A141" s="226">
        <v>39873</v>
      </c>
      <c r="B141" s="243">
        <v>70.009950000000003</v>
      </c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5"/>
      <c r="S141" s="235"/>
      <c r="T141" s="235"/>
      <c r="U141" s="234"/>
      <c r="V141" s="235"/>
      <c r="W141" s="235"/>
      <c r="X141" s="234"/>
      <c r="Y141" s="234"/>
      <c r="Z141" s="235"/>
      <c r="AA141" s="235"/>
      <c r="AB141" s="234"/>
      <c r="AC141" s="234"/>
      <c r="AD141" s="234"/>
      <c r="AE141" s="235"/>
      <c r="AF141" s="234"/>
      <c r="AG141" s="235"/>
      <c r="AH141" s="235"/>
    </row>
    <row r="142" spans="1:34" customFormat="1" x14ac:dyDescent="0.25">
      <c r="A142" s="227">
        <v>39904</v>
      </c>
      <c r="B142" s="243">
        <v>70.254990000000006</v>
      </c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5"/>
      <c r="S142" s="235"/>
      <c r="T142" s="235"/>
      <c r="U142" s="234"/>
      <c r="V142" s="235"/>
      <c r="W142" s="235"/>
      <c r="X142" s="234"/>
      <c r="Y142" s="234"/>
      <c r="Z142" s="235"/>
      <c r="AA142" s="235"/>
      <c r="AB142" s="234"/>
      <c r="AC142" s="234"/>
      <c r="AD142" s="234"/>
      <c r="AE142" s="235"/>
      <c r="AF142" s="234"/>
      <c r="AG142" s="235"/>
      <c r="AH142" s="235"/>
    </row>
    <row r="143" spans="1:34" customFormat="1" x14ac:dyDescent="0.25">
      <c r="A143" s="228">
        <v>39934</v>
      </c>
      <c r="B143" s="243">
        <v>70.050358000000003</v>
      </c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5"/>
      <c r="S143" s="235"/>
      <c r="T143" s="235"/>
      <c r="U143" s="234"/>
      <c r="V143" s="235"/>
      <c r="W143" s="235"/>
      <c r="X143" s="234"/>
      <c r="Y143" s="234"/>
      <c r="Z143" s="235"/>
      <c r="AA143" s="235"/>
      <c r="AB143" s="234"/>
      <c r="AC143" s="234"/>
      <c r="AD143" s="234"/>
      <c r="AE143" s="235"/>
      <c r="AF143" s="234"/>
      <c r="AG143" s="235"/>
      <c r="AH143" s="235"/>
    </row>
    <row r="144" spans="1:34" customFormat="1" x14ac:dyDescent="0.25">
      <c r="A144" s="229">
        <v>39965</v>
      </c>
      <c r="B144" s="243">
        <v>70.179354000000004</v>
      </c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5"/>
      <c r="S144" s="235"/>
      <c r="T144" s="235"/>
      <c r="U144" s="234"/>
      <c r="V144" s="235"/>
      <c r="W144" s="235"/>
      <c r="X144" s="234"/>
      <c r="Y144" s="234"/>
      <c r="Z144" s="235"/>
      <c r="AA144" s="235"/>
      <c r="AB144" s="234"/>
      <c r="AC144" s="234"/>
      <c r="AD144" s="234"/>
      <c r="AE144" s="235"/>
      <c r="AF144" s="234"/>
      <c r="AG144" s="235"/>
      <c r="AH144" s="235"/>
    </row>
    <row r="145" spans="1:34" customFormat="1" x14ac:dyDescent="0.25">
      <c r="A145" s="220">
        <v>39995</v>
      </c>
      <c r="B145" s="243">
        <v>70.370515999999995</v>
      </c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5"/>
      <c r="S145" s="235"/>
      <c r="T145" s="235"/>
      <c r="U145" s="234"/>
      <c r="V145" s="235"/>
      <c r="W145" s="235"/>
      <c r="X145" s="234"/>
      <c r="Y145" s="234"/>
      <c r="Z145" s="235"/>
      <c r="AA145" s="235"/>
      <c r="AB145" s="234"/>
      <c r="AC145" s="234"/>
      <c r="AD145" s="234"/>
      <c r="AE145" s="235"/>
      <c r="AF145" s="234"/>
      <c r="AG145" s="235"/>
      <c r="AH145" s="235"/>
    </row>
    <row r="146" spans="1:34" customFormat="1" x14ac:dyDescent="0.25">
      <c r="A146" s="221">
        <v>40026</v>
      </c>
      <c r="B146" s="243">
        <v>70.538883999999996</v>
      </c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5"/>
      <c r="S146" s="235"/>
      <c r="T146" s="235"/>
      <c r="U146" s="234"/>
      <c r="V146" s="235"/>
      <c r="W146" s="235"/>
      <c r="X146" s="234"/>
      <c r="Y146" s="234"/>
      <c r="Z146" s="235"/>
      <c r="AA146" s="235"/>
      <c r="AB146" s="234"/>
      <c r="AC146" s="234"/>
      <c r="AD146" s="234"/>
      <c r="AE146" s="235"/>
      <c r="AF146" s="234"/>
      <c r="AG146" s="235"/>
      <c r="AH146" s="235"/>
    </row>
    <row r="147" spans="1:34" customFormat="1" x14ac:dyDescent="0.25">
      <c r="A147" s="222">
        <v>40057</v>
      </c>
      <c r="B147" s="243">
        <v>70.892715999999993</v>
      </c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5"/>
      <c r="S147" s="235"/>
      <c r="T147" s="235"/>
      <c r="U147" s="234"/>
      <c r="V147" s="235"/>
      <c r="W147" s="235"/>
      <c r="X147" s="234"/>
      <c r="Y147" s="234"/>
      <c r="Z147" s="235"/>
      <c r="AA147" s="235"/>
      <c r="AB147" s="234"/>
      <c r="AC147" s="234"/>
      <c r="AD147" s="234"/>
      <c r="AE147" s="235"/>
      <c r="AF147" s="234"/>
      <c r="AG147" s="235"/>
      <c r="AH147" s="235"/>
    </row>
    <row r="148" spans="1:34" customFormat="1" x14ac:dyDescent="0.25">
      <c r="A148" s="230">
        <v>40087</v>
      </c>
      <c r="B148" s="243">
        <v>71.107191</v>
      </c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5"/>
      <c r="S148" s="235"/>
      <c r="T148" s="235"/>
      <c r="U148" s="234"/>
      <c r="V148" s="235"/>
      <c r="W148" s="235"/>
      <c r="X148" s="234"/>
      <c r="Y148" s="234"/>
      <c r="Z148" s="235"/>
      <c r="AA148" s="235"/>
      <c r="AB148" s="234"/>
      <c r="AC148" s="234"/>
      <c r="AD148" s="234"/>
      <c r="AE148" s="235"/>
      <c r="AF148" s="234"/>
      <c r="AG148" s="235"/>
      <c r="AH148" s="235"/>
    </row>
    <row r="149" spans="1:34" customFormat="1" x14ac:dyDescent="0.25">
      <c r="A149" s="231">
        <v>40118</v>
      </c>
      <c r="B149" s="243">
        <v>71.476045999999997</v>
      </c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5"/>
      <c r="S149" s="235"/>
      <c r="T149" s="235"/>
      <c r="U149" s="234"/>
      <c r="V149" s="235"/>
      <c r="W149" s="235"/>
      <c r="X149" s="234"/>
      <c r="Y149" s="234"/>
      <c r="Z149" s="235"/>
      <c r="AA149" s="235"/>
      <c r="AB149" s="234"/>
      <c r="AC149" s="234"/>
      <c r="AD149" s="234"/>
      <c r="AE149" s="235"/>
      <c r="AF149" s="234"/>
      <c r="AG149" s="235"/>
      <c r="AH149" s="235"/>
    </row>
    <row r="150" spans="1:34" customFormat="1" x14ac:dyDescent="0.25">
      <c r="A150" s="232">
        <v>40148</v>
      </c>
      <c r="B150" s="243">
        <v>71.771855000000002</v>
      </c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5"/>
      <c r="S150" s="235"/>
      <c r="T150" s="235"/>
      <c r="U150" s="234"/>
      <c r="V150" s="235"/>
      <c r="W150" s="235"/>
      <c r="X150" s="234"/>
      <c r="Y150" s="234"/>
      <c r="Z150" s="235"/>
      <c r="AA150" s="235"/>
      <c r="AB150" s="234"/>
      <c r="AC150" s="234"/>
      <c r="AD150" s="234"/>
      <c r="AE150" s="235"/>
      <c r="AF150" s="234"/>
      <c r="AG150" s="235"/>
      <c r="AH150" s="235"/>
    </row>
    <row r="151" spans="1:34" customFormat="1" x14ac:dyDescent="0.25">
      <c r="A151" s="224">
        <v>40179</v>
      </c>
      <c r="B151" s="243">
        <v>72.552046000000004</v>
      </c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5"/>
      <c r="S151" s="235"/>
      <c r="T151" s="235"/>
      <c r="U151" s="234"/>
      <c r="V151" s="235"/>
      <c r="W151" s="235"/>
      <c r="X151" s="234"/>
      <c r="Y151" s="234"/>
      <c r="Z151" s="235"/>
      <c r="AA151" s="235"/>
      <c r="AB151" s="234"/>
      <c r="AC151" s="234"/>
      <c r="AD151" s="234"/>
      <c r="AE151" s="235"/>
      <c r="AF151" s="234"/>
      <c r="AG151" s="235"/>
      <c r="AH151" s="235"/>
    </row>
    <row r="152" spans="1:34" customFormat="1" x14ac:dyDescent="0.25">
      <c r="A152" s="225">
        <v>40210</v>
      </c>
      <c r="B152" s="243">
        <v>72.971671000000001</v>
      </c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5"/>
      <c r="S152" s="235"/>
      <c r="T152" s="235"/>
      <c r="U152" s="234"/>
      <c r="V152" s="235"/>
      <c r="W152" s="235"/>
      <c r="X152" s="234"/>
      <c r="Y152" s="234"/>
      <c r="Z152" s="235"/>
      <c r="AA152" s="235"/>
      <c r="AB152" s="234"/>
      <c r="AC152" s="234"/>
      <c r="AD152" s="234"/>
      <c r="AE152" s="235"/>
      <c r="AF152" s="234"/>
      <c r="AG152" s="235"/>
      <c r="AH152" s="235"/>
    </row>
    <row r="153" spans="1:34" customFormat="1" x14ac:dyDescent="0.25">
      <c r="A153" s="226">
        <v>40238</v>
      </c>
      <c r="B153" s="243">
        <v>73.489725000000007</v>
      </c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5"/>
      <c r="S153" s="235"/>
      <c r="T153" s="235"/>
      <c r="U153" s="234"/>
      <c r="V153" s="235"/>
      <c r="W153" s="235"/>
      <c r="X153" s="234"/>
      <c r="Y153" s="234"/>
      <c r="Z153" s="235"/>
      <c r="AA153" s="235"/>
      <c r="AB153" s="234"/>
      <c r="AC153" s="234"/>
      <c r="AD153" s="234"/>
      <c r="AE153" s="235"/>
      <c r="AF153" s="234"/>
      <c r="AG153" s="235"/>
      <c r="AH153" s="235"/>
    </row>
    <row r="154" spans="1:34" customFormat="1" x14ac:dyDescent="0.25">
      <c r="A154" s="227">
        <v>40269</v>
      </c>
      <c r="B154" s="243">
        <v>73.255565000000004</v>
      </c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5"/>
      <c r="S154" s="235"/>
      <c r="T154" s="235"/>
      <c r="U154" s="234"/>
      <c r="V154" s="235"/>
      <c r="W154" s="235"/>
      <c r="X154" s="234"/>
      <c r="Y154" s="234"/>
      <c r="Z154" s="235"/>
      <c r="AA154" s="235"/>
      <c r="AB154" s="234"/>
      <c r="AC154" s="234"/>
      <c r="AD154" s="234"/>
      <c r="AE154" s="235"/>
      <c r="AF154" s="234"/>
      <c r="AG154" s="235"/>
      <c r="AH154" s="235"/>
    </row>
    <row r="155" spans="1:34" customFormat="1" x14ac:dyDescent="0.25">
      <c r="A155" s="228">
        <v>40299</v>
      </c>
      <c r="B155" s="243">
        <v>72.793977999999996</v>
      </c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5"/>
      <c r="S155" s="235"/>
      <c r="T155" s="235"/>
      <c r="U155" s="234"/>
      <c r="V155" s="235"/>
      <c r="W155" s="235"/>
      <c r="X155" s="234"/>
      <c r="Y155" s="234"/>
      <c r="Z155" s="235"/>
      <c r="AA155" s="235"/>
      <c r="AB155" s="234"/>
      <c r="AC155" s="234"/>
      <c r="AD155" s="234"/>
      <c r="AE155" s="235"/>
      <c r="AF155" s="234"/>
      <c r="AG155" s="235"/>
      <c r="AH155" s="235"/>
    </row>
    <row r="156" spans="1:34" customFormat="1" x14ac:dyDescent="0.25">
      <c r="A156" s="229">
        <v>40330</v>
      </c>
      <c r="B156" s="243">
        <v>72.771182999999994</v>
      </c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5"/>
      <c r="S156" s="235"/>
      <c r="T156" s="235"/>
      <c r="U156" s="234"/>
      <c r="V156" s="235"/>
      <c r="W156" s="235"/>
      <c r="X156" s="234"/>
      <c r="Y156" s="234"/>
      <c r="Z156" s="235"/>
      <c r="AA156" s="235"/>
      <c r="AB156" s="234"/>
      <c r="AC156" s="234"/>
      <c r="AD156" s="234"/>
      <c r="AE156" s="235"/>
      <c r="AF156" s="234"/>
      <c r="AG156" s="235"/>
      <c r="AH156" s="235"/>
    </row>
    <row r="157" spans="1:34" customFormat="1" x14ac:dyDescent="0.25">
      <c r="A157" s="220">
        <v>40360</v>
      </c>
      <c r="B157" s="243">
        <v>72.929190000000006</v>
      </c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5"/>
      <c r="S157" s="235"/>
      <c r="T157" s="235"/>
      <c r="U157" s="234"/>
      <c r="V157" s="235"/>
      <c r="W157" s="235"/>
      <c r="X157" s="234"/>
      <c r="Y157" s="234"/>
      <c r="Z157" s="235"/>
      <c r="AA157" s="235"/>
      <c r="AB157" s="234"/>
      <c r="AC157" s="234"/>
      <c r="AD157" s="234"/>
      <c r="AE157" s="235"/>
      <c r="AF157" s="234"/>
      <c r="AG157" s="235"/>
      <c r="AH157" s="235"/>
    </row>
    <row r="158" spans="1:34" customFormat="1" x14ac:dyDescent="0.25">
      <c r="A158" s="221">
        <v>40391</v>
      </c>
      <c r="B158" s="243">
        <v>73.131749999999997</v>
      </c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5"/>
      <c r="S158" s="235"/>
      <c r="T158" s="235"/>
      <c r="U158" s="234"/>
      <c r="V158" s="235"/>
      <c r="W158" s="235"/>
      <c r="X158" s="234"/>
      <c r="Y158" s="234"/>
      <c r="Z158" s="235"/>
      <c r="AA158" s="235"/>
      <c r="AB158" s="234"/>
      <c r="AC158" s="234"/>
      <c r="AD158" s="234"/>
      <c r="AE158" s="235"/>
      <c r="AF158" s="234"/>
      <c r="AG158" s="235"/>
      <c r="AH158" s="235"/>
    </row>
    <row r="159" spans="1:34" customFormat="1" x14ac:dyDescent="0.25">
      <c r="A159" s="222">
        <v>40422</v>
      </c>
      <c r="B159" s="243">
        <v>73.515110000000007</v>
      </c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5"/>
      <c r="S159" s="235"/>
      <c r="T159" s="235"/>
      <c r="U159" s="234"/>
      <c r="V159" s="235"/>
      <c r="W159" s="235"/>
      <c r="X159" s="234"/>
      <c r="Y159" s="234"/>
      <c r="Z159" s="235"/>
      <c r="AA159" s="235"/>
      <c r="AB159" s="234"/>
      <c r="AC159" s="234"/>
      <c r="AD159" s="234"/>
      <c r="AE159" s="235"/>
      <c r="AF159" s="234"/>
      <c r="AG159" s="235"/>
      <c r="AH159" s="235"/>
    </row>
    <row r="160" spans="1:34" customFormat="1" x14ac:dyDescent="0.25">
      <c r="A160" s="230">
        <v>40452</v>
      </c>
      <c r="B160" s="243">
        <v>73.968925999999996</v>
      </c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5"/>
      <c r="S160" s="235"/>
      <c r="T160" s="235"/>
      <c r="U160" s="234"/>
      <c r="V160" s="235"/>
      <c r="W160" s="235"/>
      <c r="X160" s="234"/>
      <c r="Y160" s="234"/>
      <c r="Z160" s="235"/>
      <c r="AA160" s="235"/>
      <c r="AB160" s="234"/>
      <c r="AC160" s="234"/>
      <c r="AD160" s="234"/>
      <c r="AE160" s="235"/>
      <c r="AF160" s="234"/>
      <c r="AG160" s="235"/>
      <c r="AH160" s="235"/>
    </row>
    <row r="161" spans="1:34" customFormat="1" x14ac:dyDescent="0.25">
      <c r="A161" s="231">
        <v>40483</v>
      </c>
      <c r="B161" s="243">
        <v>74.561581000000004</v>
      </c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5"/>
      <c r="S161" s="235"/>
      <c r="T161" s="235"/>
      <c r="U161" s="234"/>
      <c r="V161" s="235"/>
      <c r="W161" s="235"/>
      <c r="X161" s="234"/>
      <c r="Y161" s="234"/>
      <c r="Z161" s="235"/>
      <c r="AA161" s="235"/>
      <c r="AB161" s="234"/>
      <c r="AC161" s="234"/>
      <c r="AD161" s="234"/>
      <c r="AE161" s="235"/>
      <c r="AF161" s="234"/>
      <c r="AG161" s="235"/>
      <c r="AH161" s="235"/>
    </row>
    <row r="162" spans="1:34" customFormat="1" x14ac:dyDescent="0.25">
      <c r="A162" s="232">
        <v>40513</v>
      </c>
      <c r="B162" s="243">
        <v>74.930954</v>
      </c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5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5"/>
    </row>
    <row r="163" spans="1:34" customFormat="1" x14ac:dyDescent="0.25">
      <c r="A163" s="224">
        <v>40544</v>
      </c>
      <c r="B163" s="243">
        <v>75.295991000000001</v>
      </c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5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5"/>
    </row>
    <row r="164" spans="1:34" customFormat="1" x14ac:dyDescent="0.25">
      <c r="A164" s="225">
        <v>40575</v>
      </c>
      <c r="B164" s="243">
        <v>75.578460000000007</v>
      </c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5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5"/>
    </row>
    <row r="165" spans="1:34" customFormat="1" x14ac:dyDescent="0.25">
      <c r="A165" s="226">
        <v>40603</v>
      </c>
      <c r="B165" s="243">
        <v>75.723450999999997</v>
      </c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5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5"/>
    </row>
    <row r="166" spans="1:34" customFormat="1" x14ac:dyDescent="0.25">
      <c r="A166" s="227">
        <v>40634</v>
      </c>
      <c r="B166" s="243">
        <v>75.717440999999994</v>
      </c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5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5"/>
    </row>
    <row r="167" spans="1:34" customFormat="1" x14ac:dyDescent="0.25">
      <c r="A167" s="228">
        <v>40664</v>
      </c>
      <c r="B167" s="243">
        <v>75.159263999999993</v>
      </c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5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5"/>
    </row>
    <row r="168" spans="1:34" customFormat="1" x14ac:dyDescent="0.25">
      <c r="A168" s="229">
        <v>40695</v>
      </c>
      <c r="B168" s="243">
        <v>75.155507999999998</v>
      </c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5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5"/>
    </row>
    <row r="169" spans="1:34" customFormat="1" x14ac:dyDescent="0.25">
      <c r="A169" s="220">
        <v>40725</v>
      </c>
      <c r="B169" s="243">
        <v>75.516107000000005</v>
      </c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5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5"/>
    </row>
    <row r="170" spans="1:34" customFormat="1" x14ac:dyDescent="0.25">
      <c r="A170" s="221">
        <v>40756</v>
      </c>
      <c r="B170" s="243">
        <v>75.635554999999997</v>
      </c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5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5"/>
    </row>
    <row r="171" spans="1:34" customFormat="1" x14ac:dyDescent="0.25">
      <c r="A171" s="222">
        <v>40787</v>
      </c>
      <c r="B171" s="243">
        <v>75.821112999999997</v>
      </c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5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5"/>
    </row>
    <row r="172" spans="1:34" customFormat="1" x14ac:dyDescent="0.25">
      <c r="A172" s="230">
        <v>40817</v>
      </c>
      <c r="B172" s="243">
        <v>76.332712000000001</v>
      </c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5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5"/>
    </row>
    <row r="173" spans="1:34" customFormat="1" x14ac:dyDescent="0.25">
      <c r="A173" s="231">
        <v>40848</v>
      </c>
      <c r="B173" s="243">
        <v>77.158332999999999</v>
      </c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5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5"/>
    </row>
    <row r="174" spans="1:34" customFormat="1" x14ac:dyDescent="0.25">
      <c r="A174" s="232">
        <v>40878</v>
      </c>
      <c r="B174" s="243">
        <v>77.792384999999996</v>
      </c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5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5"/>
    </row>
    <row r="175" spans="1:34" customFormat="1" x14ac:dyDescent="0.25">
      <c r="A175" s="224">
        <v>40909</v>
      </c>
      <c r="B175" s="243">
        <v>78.343048999999993</v>
      </c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5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5"/>
    </row>
    <row r="176" spans="1:34" customFormat="1" x14ac:dyDescent="0.25">
      <c r="A176" s="225">
        <v>40940</v>
      </c>
      <c r="B176" s="243">
        <v>78.502313999999998</v>
      </c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5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5"/>
    </row>
    <row r="177" spans="1:34" customFormat="1" x14ac:dyDescent="0.25">
      <c r="A177" s="226">
        <v>40969</v>
      </c>
      <c r="B177" s="243">
        <v>78.547388999999995</v>
      </c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5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5"/>
    </row>
    <row r="178" spans="1:34" customFormat="1" x14ac:dyDescent="0.25">
      <c r="A178" s="227">
        <v>41000</v>
      </c>
      <c r="B178" s="243">
        <v>78.300979999999996</v>
      </c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5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5"/>
    </row>
    <row r="179" spans="1:34" customFormat="1" x14ac:dyDescent="0.25">
      <c r="A179" s="228">
        <v>41030</v>
      </c>
      <c r="B179" s="243">
        <v>78.053819000000004</v>
      </c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5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5"/>
    </row>
    <row r="180" spans="1:34" customFormat="1" x14ac:dyDescent="0.25">
      <c r="A180" s="229">
        <v>41061</v>
      </c>
      <c r="B180" s="243">
        <v>78.413667000000004</v>
      </c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5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5"/>
    </row>
    <row r="181" spans="1:34" customFormat="1" x14ac:dyDescent="0.25">
      <c r="A181" s="220">
        <v>41091</v>
      </c>
      <c r="B181" s="243">
        <v>78.853897000000003</v>
      </c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5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5"/>
    </row>
    <row r="182" spans="1:34" customFormat="1" x14ac:dyDescent="0.25">
      <c r="A182" s="221">
        <v>41122</v>
      </c>
      <c r="B182" s="243">
        <v>79.090540000000004</v>
      </c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5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5"/>
    </row>
    <row r="183" spans="1:34" customFormat="1" x14ac:dyDescent="0.25">
      <c r="A183" s="222">
        <v>41153</v>
      </c>
      <c r="B183" s="243">
        <v>79.439119000000005</v>
      </c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5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5"/>
    </row>
    <row r="184" spans="1:34" customFormat="1" x14ac:dyDescent="0.25">
      <c r="A184" s="230">
        <v>41183</v>
      </c>
      <c r="B184" s="243">
        <v>79.841036000000003</v>
      </c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5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5"/>
    </row>
    <row r="185" spans="1:34" customFormat="1" x14ac:dyDescent="0.25">
      <c r="A185" s="231">
        <v>41214</v>
      </c>
      <c r="B185" s="243">
        <v>80.383437000000001</v>
      </c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5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5"/>
    </row>
    <row r="186" spans="1:34" customFormat="1" x14ac:dyDescent="0.25">
      <c r="A186" s="232">
        <v>41244</v>
      </c>
      <c r="B186" s="243">
        <v>80.568242999999995</v>
      </c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5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5"/>
    </row>
    <row r="187" spans="1:34" customFormat="1" x14ac:dyDescent="0.25">
      <c r="A187" s="224">
        <v>41275</v>
      </c>
      <c r="B187" s="243">
        <v>80.892781999999997</v>
      </c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5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5"/>
    </row>
    <row r="188" spans="1:34" customFormat="1" x14ac:dyDescent="0.25">
      <c r="A188" s="225">
        <v>41306</v>
      </c>
      <c r="B188" s="243">
        <v>81.290942999999999</v>
      </c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5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5"/>
    </row>
    <row r="189" spans="1:34" customFormat="1" x14ac:dyDescent="0.25">
      <c r="A189" s="226">
        <v>41334</v>
      </c>
      <c r="B189" s="243">
        <v>81.887433000000001</v>
      </c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5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5"/>
    </row>
    <row r="190" spans="1:34" customFormat="1" x14ac:dyDescent="0.25">
      <c r="A190" s="227">
        <v>41365</v>
      </c>
      <c r="B190" s="243">
        <v>81.941523000000004</v>
      </c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5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5"/>
    </row>
    <row r="191" spans="1:34" customFormat="1" x14ac:dyDescent="0.25">
      <c r="A191" s="228">
        <v>41395</v>
      </c>
      <c r="B191" s="243">
        <v>81.668819999999997</v>
      </c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5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5"/>
    </row>
    <row r="192" spans="1:34" customFormat="1" x14ac:dyDescent="0.25">
      <c r="A192" s="229">
        <v>41426</v>
      </c>
      <c r="B192" s="243">
        <v>81.619237999999996</v>
      </c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5"/>
    </row>
    <row r="193" spans="1:34" customFormat="1" x14ac:dyDescent="0.25">
      <c r="A193" s="220">
        <v>41456</v>
      </c>
      <c r="B193" s="243">
        <v>81.592192999999995</v>
      </c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5"/>
    </row>
    <row r="194" spans="1:34" customFormat="1" x14ac:dyDescent="0.25">
      <c r="A194" s="221">
        <v>41487</v>
      </c>
      <c r="B194" s="243">
        <v>81.824327999999994</v>
      </c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5"/>
    </row>
    <row r="195" spans="1:34" customFormat="1" x14ac:dyDescent="0.25">
      <c r="A195" s="222">
        <v>41518</v>
      </c>
      <c r="B195" s="243">
        <v>82.132339999999999</v>
      </c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5"/>
    </row>
    <row r="196" spans="1:34" customFormat="1" x14ac:dyDescent="0.25">
      <c r="A196" s="230">
        <v>41548</v>
      </c>
      <c r="B196" s="243">
        <v>82.522987999999998</v>
      </c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5"/>
    </row>
    <row r="197" spans="1:34" customFormat="1" x14ac:dyDescent="0.25">
      <c r="A197" s="231">
        <v>41579</v>
      </c>
      <c r="B197" s="243">
        <v>83.292265</v>
      </c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5"/>
    </row>
    <row r="198" spans="1:34" customFormat="1" x14ac:dyDescent="0.25">
      <c r="A198" s="232">
        <v>41609</v>
      </c>
      <c r="B198" s="243">
        <v>83.770058000000006</v>
      </c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5"/>
    </row>
    <row r="199" spans="1:34" customFormat="1" x14ac:dyDescent="0.25">
      <c r="A199" s="224">
        <v>41640</v>
      </c>
      <c r="B199" s="243">
        <v>84.519052000000002</v>
      </c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5"/>
    </row>
    <row r="200" spans="1:34" customFormat="1" x14ac:dyDescent="0.25">
      <c r="A200" s="225">
        <v>41671</v>
      </c>
      <c r="B200" s="243">
        <v>84.733157000000006</v>
      </c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5"/>
    </row>
    <row r="201" spans="1:34" customFormat="1" x14ac:dyDescent="0.25">
      <c r="A201" s="226">
        <v>41699</v>
      </c>
      <c r="B201" s="243">
        <v>84.965292000000005</v>
      </c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5"/>
    </row>
    <row r="202" spans="1:34" customFormat="1" x14ac:dyDescent="0.25">
      <c r="A202" s="227">
        <v>41730</v>
      </c>
      <c r="B202" s="243">
        <v>84.806779000000006</v>
      </c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5"/>
    </row>
    <row r="203" spans="1:34" customFormat="1" x14ac:dyDescent="0.25">
      <c r="A203" s="228">
        <v>41760</v>
      </c>
      <c r="B203" s="243">
        <v>84.535578999999998</v>
      </c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5"/>
    </row>
    <row r="204" spans="1:34" customFormat="1" x14ac:dyDescent="0.25">
      <c r="A204" s="229">
        <v>41791</v>
      </c>
      <c r="B204" s="243">
        <v>84.682072000000005</v>
      </c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5"/>
    </row>
    <row r="205" spans="1:34" customFormat="1" x14ac:dyDescent="0.25">
      <c r="A205" s="220">
        <v>41821</v>
      </c>
      <c r="B205" s="243">
        <v>84.914958999999996</v>
      </c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5"/>
    </row>
    <row r="206" spans="1:34" customFormat="1" x14ac:dyDescent="0.25">
      <c r="A206" s="221">
        <v>41852</v>
      </c>
      <c r="B206" s="243">
        <v>85.219965000000002</v>
      </c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5"/>
    </row>
    <row r="207" spans="1:34" customFormat="1" x14ac:dyDescent="0.25">
      <c r="A207" s="222">
        <v>41883</v>
      </c>
      <c r="B207" s="243">
        <v>85.596339999999998</v>
      </c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5"/>
    </row>
    <row r="208" spans="1:34" customFormat="1" x14ac:dyDescent="0.25">
      <c r="A208" s="230">
        <v>41913</v>
      </c>
      <c r="B208" s="243">
        <v>86.069626</v>
      </c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5"/>
    </row>
    <row r="209" spans="1:34" customFormat="1" x14ac:dyDescent="0.25">
      <c r="A209" s="231">
        <v>41944</v>
      </c>
      <c r="B209" s="243">
        <v>86.763778000000002</v>
      </c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5"/>
    </row>
    <row r="210" spans="1:34" customFormat="1" x14ac:dyDescent="0.25">
      <c r="A210" s="232">
        <v>41974</v>
      </c>
      <c r="B210" s="243">
        <v>87.188984000000005</v>
      </c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5"/>
    </row>
    <row r="211" spans="1:34" customFormat="1" x14ac:dyDescent="0.25">
      <c r="A211" s="224">
        <v>42005</v>
      </c>
      <c r="B211" s="243">
        <v>87.110102999999995</v>
      </c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5"/>
    </row>
    <row r="212" spans="1:34" customFormat="1" x14ac:dyDescent="0.25">
      <c r="A212" s="225">
        <v>42036</v>
      </c>
      <c r="B212" s="243">
        <v>87.275377000000006</v>
      </c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5"/>
    </row>
    <row r="213" spans="1:34" customFormat="1" x14ac:dyDescent="0.25">
      <c r="A213" s="226">
        <v>42064</v>
      </c>
      <c r="B213" s="243">
        <v>87.630717000000004</v>
      </c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5"/>
    </row>
    <row r="214" spans="1:34" customFormat="1" x14ac:dyDescent="0.25">
      <c r="A214" s="227">
        <v>42095</v>
      </c>
      <c r="B214" s="243">
        <v>87.403840000000002</v>
      </c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5"/>
    </row>
    <row r="215" spans="1:34" customFormat="1" x14ac:dyDescent="0.25">
      <c r="A215" s="228">
        <v>42125</v>
      </c>
      <c r="B215" s="243">
        <v>86.967365999999998</v>
      </c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5"/>
    </row>
    <row r="216" spans="1:34" customFormat="1" x14ac:dyDescent="0.25">
      <c r="A216" s="229">
        <v>42156</v>
      </c>
      <c r="B216" s="243">
        <v>87.113107999999997</v>
      </c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5"/>
    </row>
    <row r="217" spans="1:34" customFormat="1" x14ac:dyDescent="0.25">
      <c r="A217" s="220">
        <v>42186</v>
      </c>
      <c r="B217" s="243">
        <v>87.240819999999999</v>
      </c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5"/>
    </row>
    <row r="218" spans="1:34" customFormat="1" x14ac:dyDescent="0.25">
      <c r="A218" s="221">
        <v>42217</v>
      </c>
      <c r="B218" s="243">
        <v>87.424875</v>
      </c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5"/>
    </row>
    <row r="219" spans="1:34" customFormat="1" x14ac:dyDescent="0.25">
      <c r="A219" s="222">
        <v>42248</v>
      </c>
      <c r="B219" s="243">
        <v>87.752419000000003</v>
      </c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5"/>
    </row>
    <row r="220" spans="1:34" customFormat="1" x14ac:dyDescent="0.25">
      <c r="A220" s="230">
        <v>42278</v>
      </c>
      <c r="B220" s="243">
        <v>88.203918999999999</v>
      </c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5"/>
    </row>
    <row r="221" spans="1:34" customFormat="1" x14ac:dyDescent="0.25">
      <c r="A221" s="231">
        <v>42309</v>
      </c>
      <c r="B221" s="243">
        <v>88.685468</v>
      </c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5"/>
    </row>
    <row r="222" spans="1:34" customFormat="1" x14ac:dyDescent="0.25">
      <c r="A222" s="232">
        <v>42339</v>
      </c>
      <c r="B222" s="243">
        <v>89.046818000000002</v>
      </c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5"/>
    </row>
    <row r="223" spans="1:34" customFormat="1" x14ac:dyDescent="0.25">
      <c r="A223" s="224">
        <v>42370</v>
      </c>
      <c r="B223" s="243">
        <v>89.386381</v>
      </c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5"/>
    </row>
    <row r="224" spans="1:34" customFormat="1" x14ac:dyDescent="0.25">
      <c r="A224" s="225">
        <v>42401</v>
      </c>
      <c r="B224" s="243">
        <v>89.777781000000004</v>
      </c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5"/>
    </row>
    <row r="225" spans="1:34" customFormat="1" x14ac:dyDescent="0.25">
      <c r="A225" s="226">
        <v>42430</v>
      </c>
      <c r="B225" s="243">
        <v>89.910000999999994</v>
      </c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5"/>
    </row>
    <row r="226" spans="1:34" customFormat="1" x14ac:dyDescent="0.25">
      <c r="A226" s="227">
        <v>42461</v>
      </c>
      <c r="B226" s="243">
        <v>89.625277999999994</v>
      </c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5"/>
    </row>
    <row r="227" spans="1:34" customFormat="1" x14ac:dyDescent="0.25">
      <c r="A227" s="228">
        <v>42491</v>
      </c>
      <c r="B227" s="243">
        <v>89.225615000000005</v>
      </c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5"/>
    </row>
    <row r="228" spans="1:34" customFormat="1" x14ac:dyDescent="0.25">
      <c r="A228" s="229">
        <v>42522</v>
      </c>
      <c r="B228" s="243">
        <v>89.324027999999998</v>
      </c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5"/>
    </row>
    <row r="229" spans="1:34" customFormat="1" x14ac:dyDescent="0.25">
      <c r="A229" s="220">
        <v>42552</v>
      </c>
      <c r="B229" s="243">
        <v>89.556914000000006</v>
      </c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5"/>
    </row>
    <row r="230" spans="1:34" customFormat="1" x14ac:dyDescent="0.25">
      <c r="A230" s="221">
        <v>42583</v>
      </c>
      <c r="B230" s="243">
        <v>89.809332999999995</v>
      </c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5"/>
    </row>
    <row r="231" spans="1:34" customFormat="1" x14ac:dyDescent="0.25">
      <c r="A231" s="222">
        <v>42614</v>
      </c>
      <c r="B231" s="243">
        <v>90.357743999999997</v>
      </c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5"/>
    </row>
    <row r="232" spans="1:34" customFormat="1" x14ac:dyDescent="0.25">
      <c r="A232" s="230">
        <v>42644</v>
      </c>
      <c r="B232" s="243">
        <v>90.906154000000001</v>
      </c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5"/>
    </row>
    <row r="233" spans="1:34" customFormat="1" x14ac:dyDescent="0.25">
      <c r="A233" s="231">
        <v>42675</v>
      </c>
      <c r="B233" s="243">
        <v>91.616833999999997</v>
      </c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5"/>
    </row>
    <row r="234" spans="1:34" customFormat="1" x14ac:dyDescent="0.25">
      <c r="A234" s="232">
        <v>42705</v>
      </c>
      <c r="B234" s="243">
        <v>92.039034999999998</v>
      </c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5"/>
    </row>
    <row r="235" spans="1:34" customFormat="1" x14ac:dyDescent="0.25">
      <c r="A235" s="224">
        <v>42736</v>
      </c>
      <c r="B235" s="243">
        <v>93.603881999999999</v>
      </c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5"/>
    </row>
    <row r="236" spans="1:34" customFormat="1" x14ac:dyDescent="0.25">
      <c r="A236" s="225">
        <v>42767</v>
      </c>
      <c r="B236" s="243">
        <v>94.144779999999997</v>
      </c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5"/>
    </row>
    <row r="237" spans="1:34" customFormat="1" x14ac:dyDescent="0.25">
      <c r="A237" s="226">
        <v>42795</v>
      </c>
      <c r="B237" s="243">
        <v>94.722488999999996</v>
      </c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5"/>
    </row>
    <row r="238" spans="1:34" customFormat="1" x14ac:dyDescent="0.25">
      <c r="A238" s="227">
        <v>42826</v>
      </c>
      <c r="B238" s="243">
        <v>94.838932999999997</v>
      </c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5"/>
    </row>
    <row r="239" spans="1:34" customFormat="1" x14ac:dyDescent="0.25">
      <c r="A239" s="228">
        <v>42856</v>
      </c>
      <c r="B239" s="243">
        <v>94.725493999999998</v>
      </c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5"/>
    </row>
    <row r="240" spans="1:34" customFormat="1" x14ac:dyDescent="0.25">
      <c r="A240" s="229">
        <v>42887</v>
      </c>
      <c r="B240" s="243">
        <v>94.963639999999998</v>
      </c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5"/>
    </row>
    <row r="241" spans="1:34" customFormat="1" x14ac:dyDescent="0.25">
      <c r="A241" s="220">
        <v>42917</v>
      </c>
      <c r="B241" s="243">
        <v>95.322736000000006</v>
      </c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5"/>
    </row>
    <row r="242" spans="1:34" customFormat="1" x14ac:dyDescent="0.25">
      <c r="A242" s="221">
        <v>42948</v>
      </c>
      <c r="B242" s="243">
        <v>95.793768</v>
      </c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5"/>
    </row>
    <row r="243" spans="1:34" customFormat="1" x14ac:dyDescent="0.25">
      <c r="A243" s="222">
        <v>42979</v>
      </c>
      <c r="B243" s="243">
        <v>96.093514999999996</v>
      </c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5"/>
    </row>
    <row r="244" spans="1:34" customFormat="1" x14ac:dyDescent="0.25">
      <c r="A244" s="230">
        <v>43009</v>
      </c>
      <c r="B244" s="243">
        <v>96.698268999999996</v>
      </c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5"/>
    </row>
    <row r="245" spans="1:34" customFormat="1" x14ac:dyDescent="0.25">
      <c r="A245" s="231">
        <v>43040</v>
      </c>
      <c r="B245" s="243">
        <v>97.695173999999994</v>
      </c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5"/>
    </row>
    <row r="246" spans="1:34" customFormat="1" x14ac:dyDescent="0.25">
      <c r="A246" s="232">
        <v>43070</v>
      </c>
      <c r="B246" s="243">
        <v>98.272882999999993</v>
      </c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5"/>
    </row>
    <row r="247" spans="1:34" customFormat="1" x14ac:dyDescent="0.25">
      <c r="A247" s="224">
        <v>43101</v>
      </c>
      <c r="B247" s="243">
        <v>98.794999699501005</v>
      </c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5"/>
    </row>
    <row r="248" spans="1:34" customFormat="1" x14ac:dyDescent="0.25">
      <c r="A248" s="225">
        <v>43132</v>
      </c>
      <c r="B248" s="243">
        <v>99.171374481640001</v>
      </c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5"/>
    </row>
    <row r="249" spans="1:34" customFormat="1" x14ac:dyDescent="0.25">
      <c r="A249" s="226">
        <v>43160</v>
      </c>
      <c r="B249" s="243">
        <v>99.492156980588007</v>
      </c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5"/>
    </row>
    <row r="250" spans="1:34" customFormat="1" x14ac:dyDescent="0.25">
      <c r="A250" s="227">
        <v>43191</v>
      </c>
      <c r="B250" s="243">
        <v>99.154847046097004</v>
      </c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5"/>
    </row>
    <row r="251" spans="1:34" customFormat="1" x14ac:dyDescent="0.25">
      <c r="A251" s="228">
        <v>43221</v>
      </c>
      <c r="B251" s="243">
        <v>98.994080173086999</v>
      </c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5"/>
    </row>
    <row r="252" spans="1:34" customFormat="1" x14ac:dyDescent="0.25">
      <c r="A252" s="229">
        <v>43252</v>
      </c>
      <c r="B252" s="243">
        <v>99.376464931786998</v>
      </c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5"/>
    </row>
    <row r="253" spans="1:34" customFormat="1" x14ac:dyDescent="0.25">
      <c r="A253" s="220">
        <v>43282</v>
      </c>
      <c r="B253" s="243">
        <v>99.909099104513999</v>
      </c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  <c r="AD253" s="234"/>
      <c r="AE253" s="234"/>
      <c r="AF253" s="234"/>
      <c r="AG253" s="234"/>
      <c r="AH253" s="235"/>
    </row>
    <row r="254" spans="1:34" customFormat="1" x14ac:dyDescent="0.25">
      <c r="A254" s="221">
        <v>43313</v>
      </c>
      <c r="B254" s="243">
        <v>100.492</v>
      </c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5"/>
      <c r="S254" s="235"/>
      <c r="T254" s="235"/>
      <c r="U254" s="235"/>
      <c r="V254" s="235"/>
      <c r="W254" s="235"/>
      <c r="X254" s="235"/>
      <c r="Y254" s="235"/>
      <c r="Z254" s="235"/>
      <c r="AA254" s="235"/>
      <c r="AB254" s="235"/>
      <c r="AC254" s="235"/>
      <c r="AD254" s="235"/>
      <c r="AE254" s="235"/>
      <c r="AF254" s="235"/>
      <c r="AG254" s="235"/>
      <c r="AH254" s="235"/>
    </row>
    <row r="255" spans="1:34" customFormat="1" x14ac:dyDescent="0.25">
      <c r="A255" s="222">
        <v>43344</v>
      </c>
      <c r="B255" s="243">
        <v>100.917</v>
      </c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  <c r="AD255" s="234"/>
      <c r="AE255" s="234"/>
      <c r="AF255" s="234"/>
      <c r="AG255" s="234"/>
      <c r="AH255" s="235"/>
    </row>
    <row r="256" spans="1:34" customFormat="1" x14ac:dyDescent="0.25">
      <c r="A256" s="230">
        <v>43374</v>
      </c>
      <c r="B256" s="243">
        <v>101.44</v>
      </c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  <c r="AD256" s="234"/>
      <c r="AE256" s="234"/>
      <c r="AF256" s="234"/>
      <c r="AG256" s="234"/>
      <c r="AH256" s="235"/>
    </row>
    <row r="257" spans="1:34" customFormat="1" x14ac:dyDescent="0.25">
      <c r="A257" s="231">
        <v>43405</v>
      </c>
      <c r="B257" s="243">
        <v>102.303</v>
      </c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  <c r="AD257" s="234"/>
      <c r="AE257" s="234"/>
      <c r="AF257" s="234"/>
      <c r="AG257" s="234"/>
      <c r="AH257" s="235"/>
    </row>
    <row r="258" spans="1:34" customFormat="1" x14ac:dyDescent="0.25">
      <c r="A258" s="232">
        <v>43435</v>
      </c>
      <c r="B258" s="243">
        <v>103.02</v>
      </c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  <c r="AD258" s="234"/>
      <c r="AE258" s="234"/>
      <c r="AF258" s="234"/>
      <c r="AG258" s="234"/>
      <c r="AH258" s="235"/>
    </row>
    <row r="259" spans="1:34" customFormat="1" x14ac:dyDescent="0.25">
      <c r="A259" s="224">
        <v>43466</v>
      </c>
      <c r="B259" s="243">
        <v>103.108</v>
      </c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  <c r="AD259" s="234"/>
      <c r="AE259" s="234"/>
      <c r="AF259" s="234"/>
      <c r="AG259" s="234"/>
      <c r="AH259" s="235"/>
    </row>
    <row r="260" spans="1:34" customFormat="1" x14ac:dyDescent="0.25">
      <c r="A260" s="225">
        <v>43497</v>
      </c>
      <c r="B260" s="243">
        <v>103.07899999999999</v>
      </c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  <c r="AD260" s="234"/>
      <c r="AE260" s="234"/>
      <c r="AF260" s="234"/>
      <c r="AG260" s="234"/>
      <c r="AH260" s="235"/>
    </row>
    <row r="261" spans="1:34" customFormat="1" x14ac:dyDescent="0.25">
      <c r="A261" s="226">
        <v>43525</v>
      </c>
      <c r="B261" s="243">
        <v>103.476</v>
      </c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  <c r="AD261" s="234"/>
      <c r="AE261" s="234"/>
      <c r="AF261" s="234"/>
      <c r="AG261" s="234"/>
      <c r="AH261" s="235"/>
    </row>
    <row r="262" spans="1:34" customFormat="1" x14ac:dyDescent="0.25">
      <c r="A262" s="227">
        <v>43556</v>
      </c>
      <c r="B262" s="243">
        <v>103.53100000000001</v>
      </c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  <c r="AD262" s="234"/>
      <c r="AE262" s="234"/>
      <c r="AF262" s="234"/>
      <c r="AG262" s="234"/>
      <c r="AH262" s="235"/>
    </row>
    <row r="263" spans="1:34" customFormat="1" x14ac:dyDescent="0.25">
      <c r="A263" s="228">
        <v>43586</v>
      </c>
      <c r="B263" s="243">
        <v>103.233</v>
      </c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4"/>
      <c r="AH263" s="235"/>
    </row>
    <row r="264" spans="1:34" customFormat="1" x14ac:dyDescent="0.25">
      <c r="A264" s="229">
        <v>43617</v>
      </c>
      <c r="B264" s="243">
        <v>103.29900000000001</v>
      </c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  <c r="AD264" s="234"/>
      <c r="AE264" s="234"/>
      <c r="AF264" s="234"/>
      <c r="AG264" s="234"/>
      <c r="AH264" s="235"/>
    </row>
    <row r="265" spans="1:34" customFormat="1" x14ac:dyDescent="0.25">
      <c r="A265" s="220">
        <v>43647</v>
      </c>
      <c r="B265" s="243">
        <v>103.687</v>
      </c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  <c r="AD265" s="234"/>
      <c r="AE265" s="234"/>
      <c r="AF265" s="234"/>
      <c r="AG265" s="234"/>
      <c r="AH265" s="235"/>
    </row>
    <row r="266" spans="1:34" customFormat="1" x14ac:dyDescent="0.25">
      <c r="A266" s="221">
        <v>43678</v>
      </c>
      <c r="B266" s="243">
        <v>103.67</v>
      </c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  <c r="AD266" s="234"/>
      <c r="AE266" s="234"/>
      <c r="AF266" s="234"/>
      <c r="AG266" s="234"/>
      <c r="AH266" s="235"/>
    </row>
    <row r="267" spans="1:34" customFormat="1" x14ac:dyDescent="0.25">
      <c r="A267" s="222">
        <v>43709</v>
      </c>
      <c r="B267" s="243">
        <v>103.94199999999999</v>
      </c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  <c r="AD267" s="234"/>
      <c r="AE267" s="234"/>
      <c r="AF267" s="234"/>
      <c r="AG267" s="234"/>
      <c r="AH267" s="235"/>
    </row>
    <row r="268" spans="1:34" customFormat="1" x14ac:dyDescent="0.25">
      <c r="A268" s="230">
        <v>43739</v>
      </c>
      <c r="B268" s="243">
        <v>104.503</v>
      </c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  <c r="AD268" s="234"/>
      <c r="AE268" s="234"/>
      <c r="AF268" s="234"/>
      <c r="AG268" s="234"/>
      <c r="AH268" s="235"/>
    </row>
    <row r="269" spans="1:34" customFormat="1" x14ac:dyDescent="0.25">
      <c r="A269" s="231">
        <v>43770</v>
      </c>
      <c r="B269" s="243">
        <v>105.346</v>
      </c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  <c r="AD269" s="234"/>
      <c r="AE269" s="234"/>
      <c r="AF269" s="234"/>
      <c r="AG269" s="234"/>
      <c r="AH269" s="235"/>
    </row>
    <row r="270" spans="1:34" customFormat="1" x14ac:dyDescent="0.25">
      <c r="A270" s="232">
        <v>43800</v>
      </c>
      <c r="B270" s="243">
        <v>105.934</v>
      </c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  <c r="AD270" s="234"/>
      <c r="AE270" s="234"/>
      <c r="AF270" s="234"/>
      <c r="AG270" s="234"/>
      <c r="AH270" s="235"/>
    </row>
    <row r="271" spans="1:34" customFormat="1" x14ac:dyDescent="0.25">
      <c r="A271" s="224">
        <v>43831</v>
      </c>
      <c r="B271" s="243">
        <v>106.447</v>
      </c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  <c r="AB271" s="234"/>
      <c r="AC271" s="234"/>
      <c r="AD271" s="234"/>
      <c r="AE271" s="234"/>
      <c r="AF271" s="234"/>
      <c r="AG271" s="234"/>
      <c r="AH271" s="235"/>
    </row>
    <row r="272" spans="1:34" customFormat="1" x14ac:dyDescent="0.25">
      <c r="A272" s="225">
        <v>43862</v>
      </c>
      <c r="B272" s="243">
        <v>106.889</v>
      </c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5"/>
    </row>
    <row r="273" spans="1:34" customFormat="1" x14ac:dyDescent="0.25">
      <c r="A273" s="226">
        <v>43891</v>
      </c>
      <c r="B273" s="243">
        <v>106.83799999999999</v>
      </c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5"/>
    </row>
    <row r="274" spans="1:34" customFormat="1" x14ac:dyDescent="0.25">
      <c r="A274" s="227">
        <v>43922</v>
      </c>
      <c r="B274" s="243">
        <v>105.755</v>
      </c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5"/>
    </row>
    <row r="275" spans="1:34" customFormat="1" x14ac:dyDescent="0.25">
      <c r="A275" s="228">
        <v>43952</v>
      </c>
      <c r="B275" s="243">
        <v>106.16200000000001</v>
      </c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  <c r="AH275" s="235"/>
    </row>
    <row r="276" spans="1:34" customFormat="1" x14ac:dyDescent="0.25">
      <c r="A276" s="229">
        <v>43983</v>
      </c>
      <c r="B276" s="243">
        <v>106.74299999999999</v>
      </c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5"/>
    </row>
    <row r="277" spans="1:34" customFormat="1" x14ac:dyDescent="0.25">
      <c r="A277" s="220">
        <v>44013</v>
      </c>
      <c r="B277" s="243">
        <v>107.444</v>
      </c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5"/>
    </row>
    <row r="278" spans="1:34" customFormat="1" x14ac:dyDescent="0.25">
      <c r="A278" s="221">
        <v>44044</v>
      </c>
      <c r="B278" s="243">
        <v>107.867</v>
      </c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5"/>
    </row>
    <row r="279" spans="1:34" customFormat="1" x14ac:dyDescent="0.25">
      <c r="A279" s="222">
        <v>44075</v>
      </c>
      <c r="B279" s="243">
        <v>108.114</v>
      </c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5"/>
    </row>
    <row r="280" spans="1:34" customFormat="1" x14ac:dyDescent="0.25">
      <c r="A280" s="230">
        <v>44105</v>
      </c>
      <c r="B280" s="243">
        <v>108.774</v>
      </c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5"/>
    </row>
    <row r="281" spans="1:34" customFormat="1" x14ac:dyDescent="0.25">
      <c r="A281" s="231">
        <v>44136</v>
      </c>
      <c r="B281" s="243">
        <v>108.85599999999999</v>
      </c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5"/>
    </row>
    <row r="282" spans="1:34" customFormat="1" x14ac:dyDescent="0.25">
      <c r="A282" s="232">
        <v>44166</v>
      </c>
      <c r="B282" s="243">
        <v>109.271</v>
      </c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5"/>
    </row>
    <row r="283" spans="1:34" customFormat="1" x14ac:dyDescent="0.25">
      <c r="A283" s="224">
        <v>44197</v>
      </c>
      <c r="B283" s="243">
        <v>110.21</v>
      </c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5"/>
    </row>
    <row r="284" spans="1:34" customFormat="1" x14ac:dyDescent="0.25">
      <c r="A284" s="225">
        <v>44228</v>
      </c>
      <c r="B284" s="243">
        <v>110.907</v>
      </c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5"/>
    </row>
    <row r="285" spans="1:34" customFormat="1" x14ac:dyDescent="0.25">
      <c r="A285" s="226">
        <v>44256</v>
      </c>
      <c r="B285" s="243">
        <v>111.824</v>
      </c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5"/>
    </row>
    <row r="286" spans="1:34" customFormat="1" x14ac:dyDescent="0.25">
      <c r="A286" s="227">
        <v>44287</v>
      </c>
      <c r="B286" s="243">
        <v>112.19</v>
      </c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5"/>
    </row>
    <row r="287" spans="1:34" customFormat="1" x14ac:dyDescent="0.25">
      <c r="A287" s="228">
        <v>44317</v>
      </c>
      <c r="B287" s="243">
        <v>112.419</v>
      </c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5"/>
    </row>
    <row r="288" spans="1:34" customFormat="1" x14ac:dyDescent="0.25">
      <c r="A288" s="229">
        <v>44348</v>
      </c>
      <c r="B288" s="243">
        <v>113.018</v>
      </c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5"/>
    </row>
    <row r="289" spans="1:34" customFormat="1" x14ac:dyDescent="0.25">
      <c r="A289" s="220">
        <v>44378</v>
      </c>
      <c r="B289" s="243">
        <v>113.682</v>
      </c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5"/>
    </row>
    <row r="290" spans="1:34" customFormat="1" x14ac:dyDescent="0.25">
      <c r="A290" s="221">
        <v>44409</v>
      </c>
      <c r="B290" s="243">
        <v>113.899</v>
      </c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5"/>
    </row>
    <row r="291" spans="1:34" customFormat="1" x14ac:dyDescent="0.25">
      <c r="A291" s="222">
        <v>44440</v>
      </c>
      <c r="B291" s="243">
        <v>114.601</v>
      </c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5"/>
    </row>
    <row r="292" spans="1:34" customFormat="1" x14ac:dyDescent="0.25">
      <c r="A292" s="230">
        <v>44470</v>
      </c>
      <c r="B292" s="243">
        <v>115.56100000000001</v>
      </c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5"/>
    </row>
    <row r="293" spans="1:34" customFormat="1" x14ac:dyDescent="0.25">
      <c r="A293" s="231">
        <v>44501</v>
      </c>
      <c r="B293" s="243">
        <v>116.884</v>
      </c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5"/>
    </row>
    <row r="294" spans="1:34" customFormat="1" x14ac:dyDescent="0.25">
      <c r="A294" s="232">
        <v>44531</v>
      </c>
      <c r="B294" s="243">
        <v>117.30800000000001</v>
      </c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5"/>
    </row>
    <row r="295" spans="1:34" customFormat="1" x14ac:dyDescent="0.25">
      <c r="A295" s="224">
        <v>44562</v>
      </c>
      <c r="B295" s="243">
        <v>118.002</v>
      </c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5"/>
    </row>
    <row r="296" spans="1:34" customFormat="1" x14ac:dyDescent="0.25">
      <c r="A296" s="225">
        <v>44593</v>
      </c>
      <c r="B296" s="243">
        <v>118.98099999999999</v>
      </c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5"/>
    </row>
    <row r="297" spans="1:34" customFormat="1" x14ac:dyDescent="0.25">
      <c r="A297" s="226">
        <v>44621</v>
      </c>
      <c r="B297" s="243">
        <v>120.15900000000001</v>
      </c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5"/>
    </row>
    <row r="298" spans="1:34" customFormat="1" x14ac:dyDescent="0.25">
      <c r="A298" s="227">
        <v>44652</v>
      </c>
      <c r="B298" s="243">
        <v>120.809</v>
      </c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5"/>
    </row>
    <row r="299" spans="1:34" customFormat="1" x14ac:dyDescent="0.25">
      <c r="A299" s="228">
        <v>44682</v>
      </c>
      <c r="B299" s="243">
        <v>121.02200000000001</v>
      </c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5"/>
    </row>
    <row r="300" spans="1:34" customFormat="1" x14ac:dyDescent="0.25">
      <c r="A300" s="229">
        <v>44713</v>
      </c>
      <c r="B300" s="243">
        <v>122.044</v>
      </c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5"/>
    </row>
    <row r="301" spans="1:34" customFormat="1" x14ac:dyDescent="0.25">
      <c r="A301" s="220">
        <v>44743</v>
      </c>
      <c r="B301" s="243">
        <v>122.94799999999999</v>
      </c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5"/>
    </row>
    <row r="302" spans="1:34" customFormat="1" x14ac:dyDescent="0.25">
      <c r="A302" s="221">
        <v>44774</v>
      </c>
      <c r="B302" s="243">
        <v>123.803</v>
      </c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5"/>
    </row>
    <row r="303" spans="1:34" customFormat="1" x14ac:dyDescent="0.25">
      <c r="A303" s="222">
        <v>44805</v>
      </c>
      <c r="B303" s="243">
        <v>124.571</v>
      </c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5"/>
    </row>
    <row r="304" spans="1:34" customFormat="1" x14ac:dyDescent="0.25">
      <c r="A304" s="230">
        <v>44835</v>
      </c>
      <c r="B304" s="243">
        <v>125.276</v>
      </c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5"/>
    </row>
    <row r="305" spans="1:34" customFormat="1" x14ac:dyDescent="0.25">
      <c r="A305" s="231">
        <v>44866</v>
      </c>
      <c r="B305" s="243">
        <v>125.997</v>
      </c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5"/>
    </row>
    <row r="306" spans="1:34" customFormat="1" x14ac:dyDescent="0.25">
      <c r="A306" s="232">
        <v>44896</v>
      </c>
      <c r="B306" s="243">
        <v>126.47799999999999</v>
      </c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5"/>
    </row>
    <row r="307" spans="1:34" customFormat="1" x14ac:dyDescent="0.25">
      <c r="A307" s="224">
        <v>44927</v>
      </c>
      <c r="B307" s="243">
        <v>127.336</v>
      </c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5"/>
    </row>
    <row r="308" spans="1:34" customFormat="1" x14ac:dyDescent="0.25">
      <c r="A308" s="225">
        <v>44958</v>
      </c>
      <c r="B308" s="243">
        <v>128.04599999999999</v>
      </c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5"/>
    </row>
    <row r="309" spans="1:34" customFormat="1" x14ac:dyDescent="0.25">
      <c r="A309" s="226">
        <v>44986</v>
      </c>
      <c r="B309" s="243">
        <v>128.38900000000001</v>
      </c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5"/>
    </row>
    <row r="310" spans="1:34" customFormat="1" x14ac:dyDescent="0.25">
      <c r="A310" s="227">
        <v>45017</v>
      </c>
      <c r="B310" s="243">
        <v>128.363</v>
      </c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5"/>
    </row>
    <row r="311" spans="1:34" customFormat="1" x14ac:dyDescent="0.25">
      <c r="A311" s="228">
        <v>45047</v>
      </c>
      <c r="B311" s="243">
        <v>128.084</v>
      </c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5"/>
    </row>
    <row r="312" spans="1:34" customFormat="1" x14ac:dyDescent="0.25">
      <c r="A312" s="229">
        <v>45078</v>
      </c>
      <c r="B312" s="243">
        <v>128.214</v>
      </c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5"/>
    </row>
    <row r="313" spans="1:34" customFormat="1" x14ac:dyDescent="0.25">
      <c r="A313" s="220">
        <v>45108</v>
      </c>
      <c r="B313" s="243">
        <v>128.83199999999999</v>
      </c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5"/>
    </row>
    <row r="314" spans="1:34" customFormat="1" x14ac:dyDescent="0.25">
      <c r="A314" s="221">
        <v>45139</v>
      </c>
      <c r="B314" s="243">
        <v>129.54499999999999</v>
      </c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5"/>
    </row>
    <row r="315" spans="1:34" customFormat="1" x14ac:dyDescent="0.25">
      <c r="A315" s="222">
        <v>45170</v>
      </c>
      <c r="B315" s="243">
        <v>130.12</v>
      </c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5"/>
    </row>
    <row r="316" spans="1:34" customFormat="1" x14ac:dyDescent="0.25">
      <c r="A316" s="230">
        <v>45200</v>
      </c>
      <c r="B316" s="243">
        <v>130.60900000000001</v>
      </c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5"/>
    </row>
    <row r="317" spans="1:34" customFormat="1" x14ac:dyDescent="0.25">
      <c r="A317" s="231">
        <v>45231</v>
      </c>
      <c r="B317" s="243">
        <v>131.44499999999999</v>
      </c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5"/>
    </row>
    <row r="318" spans="1:34" customFormat="1" x14ac:dyDescent="0.25">
      <c r="A318" s="232">
        <v>45261</v>
      </c>
      <c r="B318" s="243">
        <v>132.37299999999999</v>
      </c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5"/>
    </row>
    <row r="319" spans="1:34" customFormat="1" x14ac:dyDescent="0.25">
      <c r="A319" s="224">
        <v>45292</v>
      </c>
      <c r="B319" s="243">
        <v>133.55500000000001</v>
      </c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5"/>
    </row>
    <row r="320" spans="1:34" customFormat="1" x14ac:dyDescent="0.25">
      <c r="A320" s="225">
        <v>45323</v>
      </c>
      <c r="B320" s="243">
        <v>133.68100000000001</v>
      </c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5"/>
    </row>
    <row r="321" spans="1:34" customFormat="1" x14ac:dyDescent="0.25">
      <c r="A321" s="226">
        <v>45352</v>
      </c>
      <c r="B321" s="243">
        <v>134.065</v>
      </c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5"/>
    </row>
    <row r="322" spans="1:34" customFormat="1" x14ac:dyDescent="0.25">
      <c r="A322" s="227">
        <v>45383</v>
      </c>
      <c r="B322" s="243">
        <v>134.33600000000001</v>
      </c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5"/>
    </row>
    <row r="323" spans="1:34" customFormat="1" x14ac:dyDescent="0.25">
      <c r="A323" s="228">
        <v>45413</v>
      </c>
      <c r="B323" s="243">
        <v>134.08699999999999</v>
      </c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5"/>
    </row>
    <row r="324" spans="1:34" customFormat="1" x14ac:dyDescent="0.25">
      <c r="A324" s="229">
        <v>45444</v>
      </c>
      <c r="B324" s="243">
        <v>134.59399999999999</v>
      </c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5"/>
    </row>
    <row r="325" spans="1:34" customFormat="1" x14ac:dyDescent="0.25">
      <c r="A325" s="220">
        <v>45474</v>
      </c>
      <c r="B325" s="243">
        <v>136.00299999999999</v>
      </c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5"/>
    </row>
    <row r="326" spans="1:34" customFormat="1" x14ac:dyDescent="0.25">
      <c r="A326" s="221">
        <v>45505</v>
      </c>
      <c r="B326" s="243">
        <v>136.01300000000001</v>
      </c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5"/>
    </row>
    <row r="327" spans="1:34" customFormat="1" x14ac:dyDescent="0.25">
      <c r="A327" s="222">
        <v>45536</v>
      </c>
      <c r="B327" s="243">
        <v>136.08000000000001</v>
      </c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5"/>
    </row>
    <row r="328" spans="1:34" customFormat="1" x14ac:dyDescent="0.25">
      <c r="A328" s="230">
        <v>45566</v>
      </c>
      <c r="B328" s="243">
        <v>136.828</v>
      </c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5"/>
    </row>
    <row r="329" spans="1:34" customFormat="1" x14ac:dyDescent="0.25">
      <c r="A329" s="231">
        <v>45597</v>
      </c>
      <c r="B329" s="243">
        <v>137.42400000000001</v>
      </c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5"/>
    </row>
    <row r="330" spans="1:34" customFormat="1" x14ac:dyDescent="0.25">
      <c r="A330" s="232">
        <v>45627</v>
      </c>
      <c r="B330" s="243">
        <v>137.94900000000001</v>
      </c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5"/>
    </row>
    <row r="331" spans="1:34" x14ac:dyDescent="0.25">
      <c r="C331" s="47" t="s">
        <v>97</v>
      </c>
      <c r="D331" s="3">
        <f>((B330/B270)^(1/5)-1)*100</f>
        <v>5.4233074095233924</v>
      </c>
    </row>
    <row r="332" spans="1:34" x14ac:dyDescent="0.25">
      <c r="C332" s="48">
        <f>A269</f>
        <v>43770</v>
      </c>
      <c r="D332" s="48">
        <f>A329</f>
        <v>45597</v>
      </c>
    </row>
    <row r="334" spans="1:34" x14ac:dyDescent="0.25">
      <c r="C334" s="47" t="s">
        <v>98</v>
      </c>
      <c r="D334" s="3">
        <f>((B330/B318)^(1/1)-1)*100</f>
        <v>4.2123393743437321</v>
      </c>
    </row>
    <row r="335" spans="1:34" x14ac:dyDescent="0.25">
      <c r="C335" s="48">
        <f>A316</f>
        <v>45200</v>
      </c>
      <c r="D335" s="48">
        <f>+D332</f>
        <v>45597</v>
      </c>
    </row>
    <row r="337" spans="3:4" x14ac:dyDescent="0.25">
      <c r="C337" s="47" t="s">
        <v>99</v>
      </c>
      <c r="D337" s="3">
        <f>((B330/B90)^(1/20)-1)*100</f>
        <v>4.3998465238327844</v>
      </c>
    </row>
    <row r="338" spans="3:4" x14ac:dyDescent="0.25">
      <c r="C338" s="48">
        <f>A88</f>
        <v>38261</v>
      </c>
      <c r="D338" s="48">
        <f>+D335</f>
        <v>45597</v>
      </c>
    </row>
    <row r="340" spans="3:4" x14ac:dyDescent="0.25">
      <c r="C340" s="13" t="s">
        <v>31</v>
      </c>
    </row>
    <row r="341" spans="3:4" x14ac:dyDescent="0.25">
      <c r="C341" s="13" t="s">
        <v>30</v>
      </c>
    </row>
    <row r="343" spans="3:4" x14ac:dyDescent="0.25">
      <c r="C343" s="13" t="s">
        <v>185</v>
      </c>
    </row>
  </sheetData>
  <hyperlinks>
    <hyperlink ref="C341" r:id="rId1"/>
    <hyperlink ref="C340" r:id="rId2"/>
    <hyperlink ref="C343" r:id="rId3"/>
  </hyperlink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88"/>
  <sheetViews>
    <sheetView topLeftCell="A2755" zoomScale="85" zoomScaleNormal="85" workbookViewId="0">
      <selection activeCell="E1356" sqref="E1356"/>
    </sheetView>
  </sheetViews>
  <sheetFormatPr baseColWidth="10" defaultRowHeight="15" x14ac:dyDescent="0.25"/>
  <cols>
    <col min="1" max="1" width="15" customWidth="1"/>
    <col min="2" max="2" width="26.5703125" customWidth="1"/>
    <col min="3" max="3" width="19" customWidth="1"/>
    <col min="4" max="4" width="21.85546875" customWidth="1"/>
  </cols>
  <sheetData>
    <row r="1" spans="1:2" ht="18.75" x14ac:dyDescent="0.3">
      <c r="A1" s="192" t="s">
        <v>0</v>
      </c>
    </row>
    <row r="3" spans="1:2" x14ac:dyDescent="0.25">
      <c r="A3" s="238" t="s">
        <v>25</v>
      </c>
    </row>
    <row r="4" spans="1:2" x14ac:dyDescent="0.25">
      <c r="A4" s="193" t="s">
        <v>129</v>
      </c>
    </row>
    <row r="6" spans="1:2" x14ac:dyDescent="0.25">
      <c r="A6" s="238" t="s">
        <v>196</v>
      </c>
    </row>
    <row r="10" spans="1:2" ht="30" x14ac:dyDescent="0.25">
      <c r="A10" s="194" t="s">
        <v>3</v>
      </c>
      <c r="B10" s="239" t="s">
        <v>26</v>
      </c>
    </row>
    <row r="11" spans="1:2" ht="30" x14ac:dyDescent="0.25">
      <c r="A11" s="194" t="s">
        <v>5</v>
      </c>
      <c r="B11" s="240" t="s">
        <v>197</v>
      </c>
    </row>
    <row r="12" spans="1:2" x14ac:dyDescent="0.25">
      <c r="A12" s="194" t="s">
        <v>6</v>
      </c>
      <c r="B12" s="240" t="s">
        <v>7</v>
      </c>
    </row>
    <row r="13" spans="1:2" x14ac:dyDescent="0.25">
      <c r="A13" s="194" t="s">
        <v>8</v>
      </c>
      <c r="B13" s="240" t="s">
        <v>9</v>
      </c>
    </row>
    <row r="14" spans="1:2" x14ac:dyDescent="0.25">
      <c r="A14" s="194" t="s">
        <v>10</v>
      </c>
      <c r="B14" s="240" t="s">
        <v>11</v>
      </c>
    </row>
    <row r="15" spans="1:2" x14ac:dyDescent="0.25">
      <c r="A15" s="194" t="s">
        <v>12</v>
      </c>
      <c r="B15" s="240"/>
    </row>
    <row r="16" spans="1:2" x14ac:dyDescent="0.25">
      <c r="A16" s="194" t="s">
        <v>13</v>
      </c>
      <c r="B16" s="195"/>
    </row>
    <row r="17" spans="1:2" ht="30" x14ac:dyDescent="0.25">
      <c r="A17" s="194" t="s">
        <v>14</v>
      </c>
      <c r="B17" s="240" t="s">
        <v>15</v>
      </c>
    </row>
    <row r="18" spans="1:2" x14ac:dyDescent="0.25">
      <c r="A18" s="196" t="s">
        <v>16</v>
      </c>
      <c r="B18" s="197" t="s">
        <v>27</v>
      </c>
    </row>
    <row r="19" spans="1:2" x14ac:dyDescent="0.25">
      <c r="A19" s="198">
        <v>41641</v>
      </c>
      <c r="B19" s="244">
        <v>3.7949999999999999</v>
      </c>
    </row>
    <row r="20" spans="1:2" x14ac:dyDescent="0.25">
      <c r="A20" s="198">
        <v>41642</v>
      </c>
      <c r="B20" s="244">
        <v>3.7949999999999999</v>
      </c>
    </row>
    <row r="21" spans="1:2" x14ac:dyDescent="0.25">
      <c r="A21" s="198">
        <v>41645</v>
      </c>
      <c r="B21" s="244">
        <v>3.7925</v>
      </c>
    </row>
    <row r="22" spans="1:2" x14ac:dyDescent="0.25">
      <c r="A22" s="198">
        <v>41646</v>
      </c>
      <c r="B22" s="244">
        <v>3.7961999999999998</v>
      </c>
    </row>
    <row r="23" spans="1:2" x14ac:dyDescent="0.25">
      <c r="A23" s="198">
        <v>41647</v>
      </c>
      <c r="B23" s="244">
        <v>3.7993999999999999</v>
      </c>
    </row>
    <row r="24" spans="1:2" x14ac:dyDescent="0.25">
      <c r="A24" s="198">
        <v>41648</v>
      </c>
      <c r="B24" s="244">
        <v>3.8005</v>
      </c>
    </row>
    <row r="25" spans="1:2" x14ac:dyDescent="0.25">
      <c r="A25" s="198">
        <v>41649</v>
      </c>
      <c r="B25" s="244">
        <v>3.7927</v>
      </c>
    </row>
    <row r="26" spans="1:2" x14ac:dyDescent="0.25">
      <c r="A26" s="198">
        <v>41652</v>
      </c>
      <c r="B26" s="244">
        <v>3.7945000000000002</v>
      </c>
    </row>
    <row r="27" spans="1:2" x14ac:dyDescent="0.25">
      <c r="A27" s="198">
        <v>41653</v>
      </c>
      <c r="B27" s="244">
        <v>3.7972000000000001</v>
      </c>
    </row>
    <row r="28" spans="1:2" x14ac:dyDescent="0.25">
      <c r="A28" s="198">
        <v>41654</v>
      </c>
      <c r="B28" s="244">
        <v>3.7932999999999999</v>
      </c>
    </row>
    <row r="29" spans="1:2" x14ac:dyDescent="0.25">
      <c r="A29" s="198">
        <v>41655</v>
      </c>
      <c r="B29" s="244">
        <v>3.7843</v>
      </c>
    </row>
    <row r="30" spans="1:2" x14ac:dyDescent="0.25">
      <c r="A30" s="198">
        <v>41656</v>
      </c>
      <c r="B30" s="244">
        <v>3.7825000000000002</v>
      </c>
    </row>
    <row r="31" spans="1:2" x14ac:dyDescent="0.25">
      <c r="A31" s="198">
        <v>41659</v>
      </c>
      <c r="B31" s="244">
        <v>3.7665000000000002</v>
      </c>
    </row>
    <row r="32" spans="1:2" x14ac:dyDescent="0.25">
      <c r="A32" s="198">
        <v>41660</v>
      </c>
      <c r="B32" s="244">
        <v>3.7614999999999998</v>
      </c>
    </row>
    <row r="33" spans="1:2" x14ac:dyDescent="0.25">
      <c r="A33" s="198">
        <v>41661</v>
      </c>
      <c r="B33" s="244">
        <v>3.7669999999999999</v>
      </c>
    </row>
    <row r="34" spans="1:2" x14ac:dyDescent="0.25">
      <c r="A34" s="198">
        <v>41662</v>
      </c>
      <c r="B34" s="244">
        <v>3.7770999999999999</v>
      </c>
    </row>
    <row r="35" spans="1:2" x14ac:dyDescent="0.25">
      <c r="A35" s="198">
        <v>41663</v>
      </c>
      <c r="B35" s="244">
        <v>3.7645</v>
      </c>
    </row>
    <row r="36" spans="1:2" x14ac:dyDescent="0.25">
      <c r="A36" s="198">
        <v>41666</v>
      </c>
      <c r="B36" s="244">
        <v>3.7650000000000001</v>
      </c>
    </row>
    <row r="37" spans="1:2" x14ac:dyDescent="0.25">
      <c r="A37" s="198">
        <v>41667</v>
      </c>
      <c r="B37" s="244">
        <v>3.7650000000000001</v>
      </c>
    </row>
    <row r="38" spans="1:2" x14ac:dyDescent="0.25">
      <c r="A38" s="198">
        <v>41668</v>
      </c>
      <c r="B38" s="244">
        <v>3.7650000000000001</v>
      </c>
    </row>
    <row r="39" spans="1:2" x14ac:dyDescent="0.25">
      <c r="A39" s="198">
        <v>41669</v>
      </c>
      <c r="B39" s="244">
        <v>3.7726000000000002</v>
      </c>
    </row>
    <row r="40" spans="1:2" x14ac:dyDescent="0.25">
      <c r="A40" s="198">
        <v>41670</v>
      </c>
      <c r="B40" s="244">
        <v>3.7761</v>
      </c>
    </row>
    <row r="41" spans="1:2" x14ac:dyDescent="0.25">
      <c r="A41" s="198">
        <v>41674</v>
      </c>
      <c r="B41" s="244">
        <v>3.7705000000000002</v>
      </c>
    </row>
    <row r="42" spans="1:2" x14ac:dyDescent="0.25">
      <c r="A42" s="198">
        <v>41675</v>
      </c>
      <c r="B42" s="244">
        <v>3.7755000000000001</v>
      </c>
    </row>
    <row r="43" spans="1:2" x14ac:dyDescent="0.25">
      <c r="A43" s="198">
        <v>41676</v>
      </c>
      <c r="B43" s="244">
        <v>3.7643</v>
      </c>
    </row>
    <row r="44" spans="1:2" x14ac:dyDescent="0.25">
      <c r="A44" s="198">
        <v>41677</v>
      </c>
      <c r="B44" s="244">
        <v>3.7671000000000001</v>
      </c>
    </row>
    <row r="45" spans="1:2" x14ac:dyDescent="0.25">
      <c r="A45" s="198">
        <v>41680</v>
      </c>
      <c r="B45" s="244">
        <v>3.7814999999999999</v>
      </c>
    </row>
    <row r="46" spans="1:2" x14ac:dyDescent="0.25">
      <c r="A46" s="198">
        <v>41681</v>
      </c>
      <c r="B46" s="244">
        <v>3.7839999999999998</v>
      </c>
    </row>
    <row r="47" spans="1:2" x14ac:dyDescent="0.25">
      <c r="A47" s="198">
        <v>41682</v>
      </c>
      <c r="B47" s="244">
        <v>3.7778</v>
      </c>
    </row>
    <row r="48" spans="1:2" x14ac:dyDescent="0.25">
      <c r="A48" s="198">
        <v>41683</v>
      </c>
      <c r="B48" s="244">
        <v>3.7890000000000001</v>
      </c>
    </row>
    <row r="49" spans="1:2" x14ac:dyDescent="0.25">
      <c r="A49" s="198">
        <v>41684</v>
      </c>
      <c r="B49" s="244">
        <v>3.7915000000000001</v>
      </c>
    </row>
    <row r="50" spans="1:2" x14ac:dyDescent="0.25">
      <c r="A50" s="198">
        <v>41687</v>
      </c>
      <c r="B50" s="244">
        <v>3.7871999999999999</v>
      </c>
    </row>
    <row r="51" spans="1:2" x14ac:dyDescent="0.25">
      <c r="A51" s="198">
        <v>41688</v>
      </c>
      <c r="B51" s="244">
        <v>3.7949999999999999</v>
      </c>
    </row>
    <row r="52" spans="1:2" x14ac:dyDescent="0.25">
      <c r="A52" s="198">
        <v>41689</v>
      </c>
      <c r="B52" s="244">
        <v>3.8025000000000002</v>
      </c>
    </row>
    <row r="53" spans="1:2" x14ac:dyDescent="0.25">
      <c r="A53" s="198">
        <v>41690</v>
      </c>
      <c r="B53" s="244">
        <v>3.7930000000000001</v>
      </c>
    </row>
    <row r="54" spans="1:2" x14ac:dyDescent="0.25">
      <c r="A54" s="198">
        <v>41691</v>
      </c>
      <c r="B54" s="244">
        <v>3.7934999999999999</v>
      </c>
    </row>
    <row r="55" spans="1:2" x14ac:dyDescent="0.25">
      <c r="A55" s="198">
        <v>41694</v>
      </c>
      <c r="B55" s="244">
        <v>3.7974999999999999</v>
      </c>
    </row>
    <row r="56" spans="1:2" x14ac:dyDescent="0.25">
      <c r="A56" s="198">
        <v>41695</v>
      </c>
      <c r="B56" s="244">
        <v>3.7936999999999999</v>
      </c>
    </row>
    <row r="57" spans="1:2" x14ac:dyDescent="0.25">
      <c r="A57" s="198">
        <v>41696</v>
      </c>
      <c r="B57" s="244">
        <v>3.8025000000000002</v>
      </c>
    </row>
    <row r="58" spans="1:2" x14ac:dyDescent="0.25">
      <c r="A58" s="198">
        <v>41697</v>
      </c>
      <c r="B58" s="244">
        <v>3.7961999999999998</v>
      </c>
    </row>
    <row r="59" spans="1:2" x14ac:dyDescent="0.25">
      <c r="A59" s="198">
        <v>41698</v>
      </c>
      <c r="B59" s="244">
        <v>3.7917000000000001</v>
      </c>
    </row>
    <row r="60" spans="1:2" x14ac:dyDescent="0.25">
      <c r="A60" s="198">
        <v>41701</v>
      </c>
      <c r="B60" s="244">
        <v>3.7919</v>
      </c>
    </row>
    <row r="61" spans="1:2" x14ac:dyDescent="0.25">
      <c r="A61" s="198">
        <v>41702</v>
      </c>
      <c r="B61" s="244">
        <v>3.7955999999999999</v>
      </c>
    </row>
    <row r="62" spans="1:2" x14ac:dyDescent="0.25">
      <c r="A62" s="198">
        <v>41703</v>
      </c>
      <c r="B62" s="244">
        <v>3.7987000000000002</v>
      </c>
    </row>
    <row r="63" spans="1:2" x14ac:dyDescent="0.25">
      <c r="A63" s="198">
        <v>41704</v>
      </c>
      <c r="B63" s="244">
        <v>3.8</v>
      </c>
    </row>
    <row r="64" spans="1:2" x14ac:dyDescent="0.25">
      <c r="A64" s="198">
        <v>41705</v>
      </c>
      <c r="B64" s="244">
        <v>3.8012000000000001</v>
      </c>
    </row>
    <row r="65" spans="1:2" x14ac:dyDescent="0.25">
      <c r="A65" s="198">
        <v>41708</v>
      </c>
      <c r="B65" s="244">
        <v>3.8006000000000002</v>
      </c>
    </row>
    <row r="66" spans="1:2" x14ac:dyDescent="0.25">
      <c r="A66" s="198">
        <v>41709</v>
      </c>
      <c r="B66" s="244">
        <v>3.8025000000000002</v>
      </c>
    </row>
    <row r="67" spans="1:2" x14ac:dyDescent="0.25">
      <c r="A67" s="198">
        <v>41710</v>
      </c>
      <c r="B67" s="244">
        <v>3.7936999999999999</v>
      </c>
    </row>
    <row r="68" spans="1:2" x14ac:dyDescent="0.25">
      <c r="A68" s="198">
        <v>41711</v>
      </c>
      <c r="B68" s="244">
        <v>3.7917999999999998</v>
      </c>
    </row>
    <row r="69" spans="1:2" x14ac:dyDescent="0.25">
      <c r="A69" s="198">
        <v>41712</v>
      </c>
      <c r="B69" s="244">
        <v>3.8</v>
      </c>
    </row>
    <row r="70" spans="1:2" x14ac:dyDescent="0.25">
      <c r="A70" s="198">
        <v>41716</v>
      </c>
      <c r="B70" s="244">
        <v>3.8075000000000001</v>
      </c>
    </row>
    <row r="71" spans="1:2" x14ac:dyDescent="0.25">
      <c r="A71" s="198">
        <v>41717</v>
      </c>
      <c r="B71" s="244">
        <v>3.7949999999999999</v>
      </c>
    </row>
    <row r="72" spans="1:2" x14ac:dyDescent="0.25">
      <c r="A72" s="198">
        <v>41718</v>
      </c>
      <c r="B72" s="244">
        <v>3.8</v>
      </c>
    </row>
    <row r="73" spans="1:2" x14ac:dyDescent="0.25">
      <c r="A73" s="198">
        <v>41719</v>
      </c>
      <c r="B73" s="244">
        <v>3.8012000000000001</v>
      </c>
    </row>
    <row r="74" spans="1:2" x14ac:dyDescent="0.25">
      <c r="A74" s="198">
        <v>41722</v>
      </c>
      <c r="B74" s="244">
        <v>3.8062</v>
      </c>
    </row>
    <row r="75" spans="1:2" x14ac:dyDescent="0.25">
      <c r="A75" s="198">
        <v>41723</v>
      </c>
      <c r="B75" s="244">
        <v>3.8050000000000002</v>
      </c>
    </row>
    <row r="76" spans="1:2" x14ac:dyDescent="0.25">
      <c r="A76" s="198">
        <v>41724</v>
      </c>
      <c r="B76" s="244">
        <v>3.8125</v>
      </c>
    </row>
    <row r="77" spans="1:2" x14ac:dyDescent="0.25">
      <c r="A77" s="198">
        <v>41725</v>
      </c>
      <c r="B77" s="244">
        <v>3.8067000000000002</v>
      </c>
    </row>
    <row r="78" spans="1:2" x14ac:dyDescent="0.25">
      <c r="A78" s="198">
        <v>41726</v>
      </c>
      <c r="B78" s="244">
        <v>3.8033000000000001</v>
      </c>
    </row>
    <row r="79" spans="1:2" x14ac:dyDescent="0.25">
      <c r="A79" s="198">
        <v>41729</v>
      </c>
      <c r="B79" s="244">
        <v>3.8125</v>
      </c>
    </row>
    <row r="80" spans="1:2" x14ac:dyDescent="0.25">
      <c r="A80" s="198">
        <v>41730</v>
      </c>
      <c r="B80" s="244">
        <v>3.8149999999999999</v>
      </c>
    </row>
    <row r="81" spans="1:2" x14ac:dyDescent="0.25">
      <c r="A81" s="198">
        <v>41731</v>
      </c>
      <c r="B81" s="244">
        <v>3.8125</v>
      </c>
    </row>
    <row r="82" spans="1:2" x14ac:dyDescent="0.25">
      <c r="A82" s="198">
        <v>41732</v>
      </c>
      <c r="B82" s="244">
        <v>3.8157000000000001</v>
      </c>
    </row>
    <row r="83" spans="1:2" x14ac:dyDescent="0.25">
      <c r="A83" s="198">
        <v>41733</v>
      </c>
      <c r="B83" s="244">
        <v>3.8125</v>
      </c>
    </row>
    <row r="84" spans="1:2" x14ac:dyDescent="0.25">
      <c r="A84" s="198">
        <v>41736</v>
      </c>
      <c r="B84" s="244">
        <v>3.8012000000000001</v>
      </c>
    </row>
    <row r="85" spans="1:2" x14ac:dyDescent="0.25">
      <c r="A85" s="198">
        <v>41737</v>
      </c>
      <c r="B85" s="244">
        <v>3.8054000000000001</v>
      </c>
    </row>
    <row r="86" spans="1:2" x14ac:dyDescent="0.25">
      <c r="A86" s="198">
        <v>41738</v>
      </c>
      <c r="B86" s="244">
        <v>3.8132000000000001</v>
      </c>
    </row>
    <row r="87" spans="1:2" x14ac:dyDescent="0.25">
      <c r="A87" s="198">
        <v>41739</v>
      </c>
      <c r="B87" s="244">
        <v>3.8087</v>
      </c>
    </row>
    <row r="88" spans="1:2" x14ac:dyDescent="0.25">
      <c r="A88" s="198">
        <v>41740</v>
      </c>
      <c r="B88" s="244">
        <v>3.8039999999999998</v>
      </c>
    </row>
    <row r="89" spans="1:2" x14ac:dyDescent="0.25">
      <c r="A89" s="198">
        <v>41743</v>
      </c>
      <c r="B89" s="244">
        <v>3.7959999999999998</v>
      </c>
    </row>
    <row r="90" spans="1:2" x14ac:dyDescent="0.25">
      <c r="A90" s="198">
        <v>41744</v>
      </c>
      <c r="B90" s="244">
        <v>3.8</v>
      </c>
    </row>
    <row r="91" spans="1:2" x14ac:dyDescent="0.25">
      <c r="A91" s="198">
        <v>41745</v>
      </c>
      <c r="B91" s="244">
        <v>3.8085</v>
      </c>
    </row>
    <row r="92" spans="1:2" x14ac:dyDescent="0.25">
      <c r="A92" s="198">
        <v>41750</v>
      </c>
      <c r="B92" s="244">
        <v>3.7949999999999999</v>
      </c>
    </row>
    <row r="93" spans="1:2" x14ac:dyDescent="0.25">
      <c r="A93" s="198">
        <v>41751</v>
      </c>
      <c r="B93" s="244">
        <v>3.8109999999999999</v>
      </c>
    </row>
    <row r="94" spans="1:2" x14ac:dyDescent="0.25">
      <c r="A94" s="198">
        <v>41752</v>
      </c>
      <c r="B94" s="244">
        <v>3.8075000000000001</v>
      </c>
    </row>
    <row r="95" spans="1:2" x14ac:dyDescent="0.25">
      <c r="A95" s="198">
        <v>41753</v>
      </c>
      <c r="B95" s="244">
        <v>3.8144999999999998</v>
      </c>
    </row>
    <row r="96" spans="1:2" x14ac:dyDescent="0.25">
      <c r="A96" s="198">
        <v>41754</v>
      </c>
      <c r="B96" s="244">
        <v>3.8022</v>
      </c>
    </row>
    <row r="97" spans="1:2" x14ac:dyDescent="0.25">
      <c r="A97" s="198">
        <v>41757</v>
      </c>
      <c r="B97" s="244">
        <v>3.8151999999999999</v>
      </c>
    </row>
    <row r="98" spans="1:2" x14ac:dyDescent="0.25">
      <c r="A98" s="198">
        <v>41758</v>
      </c>
      <c r="B98" s="244">
        <v>3.7955999999999999</v>
      </c>
    </row>
    <row r="99" spans="1:2" x14ac:dyDescent="0.25">
      <c r="A99" s="198">
        <v>41759</v>
      </c>
      <c r="B99" s="244">
        <v>3.7949999999999999</v>
      </c>
    </row>
    <row r="100" spans="1:2" x14ac:dyDescent="0.25">
      <c r="A100" s="198">
        <v>41761</v>
      </c>
      <c r="B100" s="244">
        <v>3.7905000000000002</v>
      </c>
    </row>
    <row r="101" spans="1:2" x14ac:dyDescent="0.25">
      <c r="A101" s="198">
        <v>41764</v>
      </c>
      <c r="B101" s="244">
        <v>3.8</v>
      </c>
    </row>
    <row r="102" spans="1:2" x14ac:dyDescent="0.25">
      <c r="A102" s="198">
        <v>41765</v>
      </c>
      <c r="B102" s="244">
        <v>3.8050000000000002</v>
      </c>
    </row>
    <row r="103" spans="1:2" x14ac:dyDescent="0.25">
      <c r="A103" s="198">
        <v>41766</v>
      </c>
      <c r="B103" s="244">
        <v>3.798</v>
      </c>
    </row>
    <row r="104" spans="1:2" x14ac:dyDescent="0.25">
      <c r="A104" s="198">
        <v>41767</v>
      </c>
      <c r="B104" s="244">
        <v>3.8010000000000002</v>
      </c>
    </row>
    <row r="105" spans="1:2" x14ac:dyDescent="0.25">
      <c r="A105" s="198">
        <v>41768</v>
      </c>
      <c r="B105" s="244">
        <v>3.8149000000000002</v>
      </c>
    </row>
    <row r="106" spans="1:2" x14ac:dyDescent="0.25">
      <c r="A106" s="198">
        <v>41771</v>
      </c>
      <c r="B106" s="244">
        <v>3.7987000000000002</v>
      </c>
    </row>
    <row r="107" spans="1:2" x14ac:dyDescent="0.25">
      <c r="A107" s="198">
        <v>41772</v>
      </c>
      <c r="B107" s="244">
        <v>3.7934999999999999</v>
      </c>
    </row>
    <row r="108" spans="1:2" x14ac:dyDescent="0.25">
      <c r="A108" s="198">
        <v>41773</v>
      </c>
      <c r="B108" s="244">
        <v>3.8090000000000002</v>
      </c>
    </row>
    <row r="109" spans="1:2" x14ac:dyDescent="0.25">
      <c r="A109" s="198">
        <v>41774</v>
      </c>
      <c r="B109" s="244">
        <v>3.8170999999999999</v>
      </c>
    </row>
    <row r="110" spans="1:2" x14ac:dyDescent="0.25">
      <c r="A110" s="198">
        <v>41775</v>
      </c>
      <c r="B110" s="244">
        <v>3.8075000000000001</v>
      </c>
    </row>
    <row r="111" spans="1:2" x14ac:dyDescent="0.25">
      <c r="A111" s="198">
        <v>41778</v>
      </c>
      <c r="B111" s="244">
        <v>3.8083999999999998</v>
      </c>
    </row>
    <row r="112" spans="1:2" x14ac:dyDescent="0.25">
      <c r="A112" s="198">
        <v>41779</v>
      </c>
      <c r="B112" s="244">
        <v>3.7948</v>
      </c>
    </row>
    <row r="113" spans="1:2" x14ac:dyDescent="0.25">
      <c r="A113" s="198">
        <v>41780</v>
      </c>
      <c r="B113" s="244">
        <v>3.8</v>
      </c>
    </row>
    <row r="114" spans="1:2" x14ac:dyDescent="0.25">
      <c r="A114" s="198">
        <v>41781</v>
      </c>
      <c r="B114" s="244">
        <v>3.8085</v>
      </c>
    </row>
    <row r="115" spans="1:2" x14ac:dyDescent="0.25">
      <c r="A115" s="198">
        <v>41782</v>
      </c>
      <c r="B115" s="244">
        <v>3.8071999999999999</v>
      </c>
    </row>
    <row r="116" spans="1:2" x14ac:dyDescent="0.25">
      <c r="A116" s="198">
        <v>41785</v>
      </c>
      <c r="B116" s="244">
        <v>3.8159999999999998</v>
      </c>
    </row>
    <row r="117" spans="1:2" x14ac:dyDescent="0.25">
      <c r="A117" s="198">
        <v>41786</v>
      </c>
      <c r="B117" s="244">
        <v>3.7915000000000001</v>
      </c>
    </row>
    <row r="118" spans="1:2" x14ac:dyDescent="0.25">
      <c r="A118" s="198">
        <v>41787</v>
      </c>
      <c r="B118" s="244">
        <v>3.8085</v>
      </c>
    </row>
    <row r="119" spans="1:2" x14ac:dyDescent="0.25">
      <c r="A119" s="198">
        <v>41788</v>
      </c>
      <c r="B119" s="244">
        <v>3.7968000000000002</v>
      </c>
    </row>
    <row r="120" spans="1:2" x14ac:dyDescent="0.25">
      <c r="A120" s="198">
        <v>41789</v>
      </c>
      <c r="B120" s="244">
        <v>3.7858000000000001</v>
      </c>
    </row>
    <row r="121" spans="1:2" x14ac:dyDescent="0.25">
      <c r="A121" s="198">
        <v>41792</v>
      </c>
      <c r="B121" s="244">
        <v>3.7785000000000002</v>
      </c>
    </row>
    <row r="122" spans="1:2" x14ac:dyDescent="0.25">
      <c r="A122" s="198">
        <v>41793</v>
      </c>
      <c r="B122" s="244">
        <v>3.8043</v>
      </c>
    </row>
    <row r="123" spans="1:2" x14ac:dyDescent="0.25">
      <c r="A123" s="198">
        <v>41794</v>
      </c>
      <c r="B123" s="244">
        <v>3.8085</v>
      </c>
    </row>
    <row r="124" spans="1:2" x14ac:dyDescent="0.25">
      <c r="A124" s="198">
        <v>41795</v>
      </c>
      <c r="B124" s="244">
        <v>3.8094999999999999</v>
      </c>
    </row>
    <row r="125" spans="1:2" x14ac:dyDescent="0.25">
      <c r="A125" s="198">
        <v>41796</v>
      </c>
      <c r="B125" s="244">
        <v>3.8085</v>
      </c>
    </row>
    <row r="126" spans="1:2" x14ac:dyDescent="0.25">
      <c r="A126" s="198">
        <v>41799</v>
      </c>
      <c r="B126" s="244">
        <v>3.3250000000000002</v>
      </c>
    </row>
    <row r="127" spans="1:2" x14ac:dyDescent="0.25">
      <c r="A127" s="198">
        <v>41800</v>
      </c>
      <c r="B127" s="244">
        <v>3.3220000000000001</v>
      </c>
    </row>
    <row r="128" spans="1:2" x14ac:dyDescent="0.25">
      <c r="A128" s="198">
        <v>41801</v>
      </c>
      <c r="B128" s="244">
        <v>3.3159999999999998</v>
      </c>
    </row>
    <row r="129" spans="1:2" x14ac:dyDescent="0.25">
      <c r="A129" s="198">
        <v>41802</v>
      </c>
      <c r="B129" s="244">
        <v>3.3092999999999999</v>
      </c>
    </row>
    <row r="130" spans="1:2" x14ac:dyDescent="0.25">
      <c r="A130" s="198">
        <v>41803</v>
      </c>
      <c r="B130" s="244">
        <v>3.3090999999999999</v>
      </c>
    </row>
    <row r="131" spans="1:2" x14ac:dyDescent="0.25">
      <c r="A131" s="198">
        <v>41806</v>
      </c>
      <c r="B131" s="244">
        <v>3.3117999999999999</v>
      </c>
    </row>
    <row r="132" spans="1:2" x14ac:dyDescent="0.25">
      <c r="A132" s="198">
        <v>41807</v>
      </c>
      <c r="B132" s="244">
        <v>3.3075000000000001</v>
      </c>
    </row>
    <row r="133" spans="1:2" x14ac:dyDescent="0.25">
      <c r="A133" s="198">
        <v>41808</v>
      </c>
      <c r="B133" s="244">
        <v>3.3094999999999999</v>
      </c>
    </row>
    <row r="134" spans="1:2" x14ac:dyDescent="0.25">
      <c r="A134" s="198">
        <v>41809</v>
      </c>
      <c r="B134" s="244">
        <v>3.31</v>
      </c>
    </row>
    <row r="135" spans="1:2" x14ac:dyDescent="0.25">
      <c r="A135" s="198">
        <v>41810</v>
      </c>
      <c r="B135" s="244">
        <v>3.31</v>
      </c>
    </row>
    <row r="136" spans="1:2" x14ac:dyDescent="0.25">
      <c r="A136" s="198">
        <v>41813</v>
      </c>
      <c r="B136" s="244">
        <v>3.3184</v>
      </c>
    </row>
    <row r="137" spans="1:2" x14ac:dyDescent="0.25">
      <c r="A137" s="198">
        <v>41814</v>
      </c>
      <c r="B137" s="244">
        <v>3.31</v>
      </c>
    </row>
    <row r="138" spans="1:2" x14ac:dyDescent="0.25">
      <c r="A138" s="198">
        <v>41815</v>
      </c>
      <c r="B138" s="244">
        <v>3.3075000000000001</v>
      </c>
    </row>
    <row r="139" spans="1:2" x14ac:dyDescent="0.25">
      <c r="A139" s="198">
        <v>41816</v>
      </c>
      <c r="B139" s="244">
        <v>3.3125</v>
      </c>
    </row>
    <row r="140" spans="1:2" x14ac:dyDescent="0.25">
      <c r="A140" s="198">
        <v>41817</v>
      </c>
      <c r="B140" s="244">
        <v>3.3087</v>
      </c>
    </row>
    <row r="141" spans="1:2" x14ac:dyDescent="0.25">
      <c r="A141" s="198">
        <v>41820</v>
      </c>
      <c r="B141" s="244">
        <v>3.3050000000000002</v>
      </c>
    </row>
    <row r="142" spans="1:2" x14ac:dyDescent="0.25">
      <c r="A142" s="198">
        <v>41821</v>
      </c>
      <c r="B142" s="244">
        <v>3.3075000000000001</v>
      </c>
    </row>
    <row r="143" spans="1:2" x14ac:dyDescent="0.25">
      <c r="A143" s="198">
        <v>41822</v>
      </c>
      <c r="B143" s="244">
        <v>3.3077000000000001</v>
      </c>
    </row>
    <row r="144" spans="1:2" x14ac:dyDescent="0.25">
      <c r="A144" s="198">
        <v>41823</v>
      </c>
      <c r="B144" s="244">
        <v>3.3125</v>
      </c>
    </row>
    <row r="145" spans="1:2" x14ac:dyDescent="0.25">
      <c r="A145" s="198">
        <v>41824</v>
      </c>
      <c r="B145" s="244">
        <v>3.3068</v>
      </c>
    </row>
    <row r="146" spans="1:2" x14ac:dyDescent="0.25">
      <c r="A146" s="198">
        <v>41827</v>
      </c>
      <c r="B146" s="244">
        <v>3.3008000000000002</v>
      </c>
    </row>
    <row r="147" spans="1:2" x14ac:dyDescent="0.25">
      <c r="A147" s="198">
        <v>41828</v>
      </c>
      <c r="B147" s="244">
        <v>3.2959999999999998</v>
      </c>
    </row>
    <row r="148" spans="1:2" x14ac:dyDescent="0.25">
      <c r="A148" s="198">
        <v>41829</v>
      </c>
      <c r="B148" s="244">
        <v>3.2919</v>
      </c>
    </row>
    <row r="149" spans="1:2" x14ac:dyDescent="0.25">
      <c r="A149" s="198">
        <v>41830</v>
      </c>
      <c r="B149" s="244">
        <v>3.2945000000000002</v>
      </c>
    </row>
    <row r="150" spans="1:2" x14ac:dyDescent="0.25">
      <c r="A150" s="198">
        <v>41831</v>
      </c>
      <c r="B150" s="244">
        <v>3.294</v>
      </c>
    </row>
    <row r="151" spans="1:2" x14ac:dyDescent="0.25">
      <c r="A151" s="198">
        <v>41834</v>
      </c>
      <c r="B151" s="244">
        <v>3.3073999999999999</v>
      </c>
    </row>
    <row r="152" spans="1:2" x14ac:dyDescent="0.25">
      <c r="A152" s="198">
        <v>41835</v>
      </c>
      <c r="B152" s="244">
        <v>3.3094999999999999</v>
      </c>
    </row>
    <row r="153" spans="1:2" x14ac:dyDescent="0.25">
      <c r="A153" s="198">
        <v>41836</v>
      </c>
      <c r="B153" s="244">
        <v>3.2972000000000001</v>
      </c>
    </row>
    <row r="154" spans="1:2" x14ac:dyDescent="0.25">
      <c r="A154" s="198">
        <v>41837</v>
      </c>
      <c r="B154" s="244">
        <v>3.2970000000000002</v>
      </c>
    </row>
    <row r="155" spans="1:2" x14ac:dyDescent="0.25">
      <c r="A155" s="198">
        <v>41838</v>
      </c>
      <c r="B155" s="244">
        <v>3.2932000000000001</v>
      </c>
    </row>
    <row r="156" spans="1:2" x14ac:dyDescent="0.25">
      <c r="A156" s="198">
        <v>41841</v>
      </c>
      <c r="B156" s="244">
        <v>3.2820999999999998</v>
      </c>
    </row>
    <row r="157" spans="1:2" x14ac:dyDescent="0.25">
      <c r="A157" s="198">
        <v>41842</v>
      </c>
      <c r="B157" s="244">
        <v>3.2890999999999999</v>
      </c>
    </row>
    <row r="158" spans="1:2" x14ac:dyDescent="0.25">
      <c r="A158" s="198">
        <v>41843</v>
      </c>
      <c r="B158" s="244">
        <v>3.2850000000000001</v>
      </c>
    </row>
    <row r="159" spans="1:2" x14ac:dyDescent="0.25">
      <c r="A159" s="198">
        <v>41844</v>
      </c>
      <c r="B159" s="244">
        <v>3.2875000000000001</v>
      </c>
    </row>
    <row r="160" spans="1:2" x14ac:dyDescent="0.25">
      <c r="A160" s="198">
        <v>41845</v>
      </c>
      <c r="B160" s="244">
        <v>3.2936000000000001</v>
      </c>
    </row>
    <row r="161" spans="1:2" x14ac:dyDescent="0.25">
      <c r="A161" s="198">
        <v>41848</v>
      </c>
      <c r="B161" s="244">
        <v>3.2909999999999999</v>
      </c>
    </row>
    <row r="162" spans="1:2" x14ac:dyDescent="0.25">
      <c r="A162" s="198">
        <v>41849</v>
      </c>
      <c r="B162" s="244">
        <v>3.2886000000000002</v>
      </c>
    </row>
    <row r="163" spans="1:2" x14ac:dyDescent="0.25">
      <c r="A163" s="198">
        <v>41850</v>
      </c>
      <c r="B163" s="244">
        <v>3.3022999999999998</v>
      </c>
    </row>
    <row r="164" spans="1:2" x14ac:dyDescent="0.25">
      <c r="A164" s="198">
        <v>41851</v>
      </c>
      <c r="B164" s="244">
        <v>3.3075000000000001</v>
      </c>
    </row>
    <row r="165" spans="1:2" x14ac:dyDescent="0.25">
      <c r="A165" s="198">
        <v>41852</v>
      </c>
      <c r="B165" s="244">
        <v>3.31</v>
      </c>
    </row>
    <row r="166" spans="1:2" x14ac:dyDescent="0.25">
      <c r="A166" s="198">
        <v>41855</v>
      </c>
      <c r="B166" s="244">
        <v>3.3</v>
      </c>
    </row>
    <row r="167" spans="1:2" x14ac:dyDescent="0.25">
      <c r="A167" s="198">
        <v>41856</v>
      </c>
      <c r="B167" s="244">
        <v>3.3125</v>
      </c>
    </row>
    <row r="168" spans="1:2" x14ac:dyDescent="0.25">
      <c r="A168" s="198">
        <v>41857</v>
      </c>
      <c r="B168" s="244">
        <v>3.2965</v>
      </c>
    </row>
    <row r="169" spans="1:2" x14ac:dyDescent="0.25">
      <c r="A169" s="198">
        <v>41858</v>
      </c>
      <c r="B169" s="244">
        <v>3.2970000000000002</v>
      </c>
    </row>
    <row r="170" spans="1:2" x14ac:dyDescent="0.25">
      <c r="A170" s="198">
        <v>41859</v>
      </c>
      <c r="B170" s="244">
        <v>3.2934999999999999</v>
      </c>
    </row>
    <row r="171" spans="1:2" x14ac:dyDescent="0.25">
      <c r="A171" s="198">
        <v>41862</v>
      </c>
      <c r="B171" s="244">
        <v>3.298</v>
      </c>
    </row>
    <row r="172" spans="1:2" x14ac:dyDescent="0.25">
      <c r="A172" s="198">
        <v>41863</v>
      </c>
      <c r="B172" s="244">
        <v>3.2972000000000001</v>
      </c>
    </row>
    <row r="173" spans="1:2" x14ac:dyDescent="0.25">
      <c r="A173" s="198">
        <v>41864</v>
      </c>
      <c r="B173" s="244">
        <v>3.3010000000000002</v>
      </c>
    </row>
    <row r="174" spans="1:2" x14ac:dyDescent="0.25">
      <c r="A174" s="198">
        <v>41865</v>
      </c>
      <c r="B174" s="244">
        <v>3.2940999999999998</v>
      </c>
    </row>
    <row r="175" spans="1:2" x14ac:dyDescent="0.25">
      <c r="A175" s="198">
        <v>41866</v>
      </c>
      <c r="B175" s="244">
        <v>3.3025000000000002</v>
      </c>
    </row>
    <row r="176" spans="1:2" x14ac:dyDescent="0.25">
      <c r="A176" s="198">
        <v>41869</v>
      </c>
      <c r="B176" s="244">
        <v>3.2982999999999998</v>
      </c>
    </row>
    <row r="177" spans="1:2" x14ac:dyDescent="0.25">
      <c r="A177" s="198">
        <v>41870</v>
      </c>
      <c r="B177" s="244">
        <v>3.2925</v>
      </c>
    </row>
    <row r="178" spans="1:2" x14ac:dyDescent="0.25">
      <c r="A178" s="198">
        <v>41871</v>
      </c>
      <c r="B178" s="244">
        <v>3.2864</v>
      </c>
    </row>
    <row r="179" spans="1:2" x14ac:dyDescent="0.25">
      <c r="A179" s="198">
        <v>41872</v>
      </c>
      <c r="B179" s="244">
        <v>3.3025000000000002</v>
      </c>
    </row>
    <row r="180" spans="1:2" x14ac:dyDescent="0.25">
      <c r="A180" s="198">
        <v>41873</v>
      </c>
      <c r="B180" s="244">
        <v>3.3025000000000002</v>
      </c>
    </row>
    <row r="181" spans="1:2" x14ac:dyDescent="0.25">
      <c r="A181" s="198">
        <v>41876</v>
      </c>
      <c r="B181" s="244">
        <v>3.2974999999999999</v>
      </c>
    </row>
    <row r="182" spans="1:2" x14ac:dyDescent="0.25">
      <c r="A182" s="198">
        <v>41877</v>
      </c>
      <c r="B182" s="244">
        <v>3.3025000000000002</v>
      </c>
    </row>
    <row r="183" spans="1:2" x14ac:dyDescent="0.25">
      <c r="A183" s="198">
        <v>41878</v>
      </c>
      <c r="B183" s="244">
        <v>3.2925</v>
      </c>
    </row>
    <row r="184" spans="1:2" x14ac:dyDescent="0.25">
      <c r="A184" s="198">
        <v>41879</v>
      </c>
      <c r="B184" s="244">
        <v>3.2951000000000001</v>
      </c>
    </row>
    <row r="185" spans="1:2" x14ac:dyDescent="0.25">
      <c r="A185" s="198">
        <v>41880</v>
      </c>
      <c r="B185" s="244">
        <v>3.2974999999999999</v>
      </c>
    </row>
    <row r="186" spans="1:2" x14ac:dyDescent="0.25">
      <c r="A186" s="198">
        <v>41883</v>
      </c>
      <c r="B186" s="244">
        <v>3.286</v>
      </c>
    </row>
    <row r="187" spans="1:2" x14ac:dyDescent="0.25">
      <c r="A187" s="198">
        <v>41884</v>
      </c>
      <c r="B187" s="244">
        <v>3.2909999999999999</v>
      </c>
    </row>
    <row r="188" spans="1:2" x14ac:dyDescent="0.25">
      <c r="A188" s="198">
        <v>41885</v>
      </c>
      <c r="B188" s="244">
        <v>3.2909999999999999</v>
      </c>
    </row>
    <row r="189" spans="1:2" x14ac:dyDescent="0.25">
      <c r="A189" s="198">
        <v>41886</v>
      </c>
      <c r="B189" s="244">
        <v>3.2949999999999999</v>
      </c>
    </row>
    <row r="190" spans="1:2" x14ac:dyDescent="0.25">
      <c r="A190" s="198">
        <v>41887</v>
      </c>
      <c r="B190" s="244">
        <v>3.2826</v>
      </c>
    </row>
    <row r="191" spans="1:2" x14ac:dyDescent="0.25">
      <c r="A191" s="198">
        <v>41890</v>
      </c>
      <c r="B191" s="244">
        <v>3.2925</v>
      </c>
    </row>
    <row r="192" spans="1:2" x14ac:dyDescent="0.25">
      <c r="A192" s="198">
        <v>41891</v>
      </c>
      <c r="B192" s="244">
        <v>3.2925</v>
      </c>
    </row>
    <row r="193" spans="1:2" x14ac:dyDescent="0.25">
      <c r="A193" s="198">
        <v>41892</v>
      </c>
      <c r="B193" s="244">
        <v>3.2926000000000002</v>
      </c>
    </row>
    <row r="194" spans="1:2" x14ac:dyDescent="0.25">
      <c r="A194" s="198">
        <v>41893</v>
      </c>
      <c r="B194" s="244">
        <v>3.2818000000000001</v>
      </c>
    </row>
    <row r="195" spans="1:2" x14ac:dyDescent="0.25">
      <c r="A195" s="198">
        <v>41894</v>
      </c>
      <c r="B195" s="244">
        <v>3.2930000000000001</v>
      </c>
    </row>
    <row r="196" spans="1:2" x14ac:dyDescent="0.25">
      <c r="A196" s="198">
        <v>41897</v>
      </c>
      <c r="B196" s="244">
        <v>3.2926000000000002</v>
      </c>
    </row>
    <row r="197" spans="1:2" x14ac:dyDescent="0.25">
      <c r="A197" s="198">
        <v>41899</v>
      </c>
      <c r="B197" s="244">
        <v>3.3065000000000002</v>
      </c>
    </row>
    <row r="198" spans="1:2" x14ac:dyDescent="0.25">
      <c r="A198" s="198">
        <v>41900</v>
      </c>
      <c r="B198" s="244">
        <v>3.29</v>
      </c>
    </row>
    <row r="199" spans="1:2" x14ac:dyDescent="0.25">
      <c r="A199" s="198">
        <v>41901</v>
      </c>
      <c r="B199" s="244">
        <v>3.2974999999999999</v>
      </c>
    </row>
    <row r="200" spans="1:2" x14ac:dyDescent="0.25">
      <c r="A200" s="198">
        <v>41904</v>
      </c>
      <c r="B200" s="244">
        <v>3.2974999999999999</v>
      </c>
    </row>
    <row r="201" spans="1:2" x14ac:dyDescent="0.25">
      <c r="A201" s="198">
        <v>41905</v>
      </c>
      <c r="B201" s="244">
        <v>3.2865000000000002</v>
      </c>
    </row>
    <row r="202" spans="1:2" x14ac:dyDescent="0.25">
      <c r="A202" s="198">
        <v>41906</v>
      </c>
      <c r="B202" s="244">
        <v>3.282</v>
      </c>
    </row>
    <row r="203" spans="1:2" x14ac:dyDescent="0.25">
      <c r="A203" s="198">
        <v>41907</v>
      </c>
      <c r="B203" s="244">
        <v>3.2825000000000002</v>
      </c>
    </row>
    <row r="204" spans="1:2" x14ac:dyDescent="0.25">
      <c r="A204" s="198">
        <v>41908</v>
      </c>
      <c r="B204" s="244">
        <v>3.2768000000000002</v>
      </c>
    </row>
    <row r="205" spans="1:2" x14ac:dyDescent="0.25">
      <c r="A205" s="198">
        <v>41911</v>
      </c>
      <c r="B205" s="244">
        <v>3.2740999999999998</v>
      </c>
    </row>
    <row r="206" spans="1:2" x14ac:dyDescent="0.25">
      <c r="A206" s="198">
        <v>41912</v>
      </c>
      <c r="B206" s="244">
        <v>3.2915999999999999</v>
      </c>
    </row>
    <row r="207" spans="1:2" x14ac:dyDescent="0.25">
      <c r="A207" s="198">
        <v>41913</v>
      </c>
      <c r="B207" s="244">
        <v>3.2793000000000001</v>
      </c>
    </row>
    <row r="208" spans="1:2" x14ac:dyDescent="0.25">
      <c r="A208" s="198">
        <v>41914</v>
      </c>
      <c r="B208" s="244">
        <v>3.2896000000000001</v>
      </c>
    </row>
    <row r="209" spans="1:2" x14ac:dyDescent="0.25">
      <c r="A209" s="198">
        <v>41915</v>
      </c>
      <c r="B209" s="244">
        <v>3.3</v>
      </c>
    </row>
    <row r="210" spans="1:2" x14ac:dyDescent="0.25">
      <c r="A210" s="198">
        <v>41918</v>
      </c>
      <c r="B210" s="244">
        <v>3.2949999999999999</v>
      </c>
    </row>
    <row r="211" spans="1:2" x14ac:dyDescent="0.25">
      <c r="A211" s="198">
        <v>41919</v>
      </c>
      <c r="B211" s="244">
        <v>3.2949999999999999</v>
      </c>
    </row>
    <row r="212" spans="1:2" x14ac:dyDescent="0.25">
      <c r="A212" s="198">
        <v>41920</v>
      </c>
      <c r="B212" s="244">
        <v>3.3050000000000002</v>
      </c>
    </row>
    <row r="213" spans="1:2" x14ac:dyDescent="0.25">
      <c r="A213" s="198">
        <v>41921</v>
      </c>
      <c r="B213" s="244">
        <v>3.2974999999999999</v>
      </c>
    </row>
    <row r="214" spans="1:2" x14ac:dyDescent="0.25">
      <c r="A214" s="198">
        <v>41922</v>
      </c>
      <c r="B214" s="244">
        <v>3.2995999999999999</v>
      </c>
    </row>
    <row r="215" spans="1:2" x14ac:dyDescent="0.25">
      <c r="A215" s="198">
        <v>41925</v>
      </c>
      <c r="B215" s="244">
        <v>3.29</v>
      </c>
    </row>
    <row r="216" spans="1:2" x14ac:dyDescent="0.25">
      <c r="A216" s="198">
        <v>41926</v>
      </c>
      <c r="B216" s="244">
        <v>3.3031000000000001</v>
      </c>
    </row>
    <row r="217" spans="1:2" x14ac:dyDescent="0.25">
      <c r="A217" s="198">
        <v>41927</v>
      </c>
      <c r="B217" s="244">
        <v>3.2965</v>
      </c>
    </row>
    <row r="218" spans="1:2" x14ac:dyDescent="0.25">
      <c r="A218" s="198">
        <v>41928</v>
      </c>
      <c r="B218" s="244">
        <v>3.2886000000000002</v>
      </c>
    </row>
    <row r="219" spans="1:2" x14ac:dyDescent="0.25">
      <c r="A219" s="198">
        <v>41929</v>
      </c>
      <c r="B219" s="244">
        <v>3.2835000000000001</v>
      </c>
    </row>
    <row r="220" spans="1:2" x14ac:dyDescent="0.25">
      <c r="A220" s="198">
        <v>41932</v>
      </c>
      <c r="B220" s="244">
        <v>3.2850000000000001</v>
      </c>
    </row>
    <row r="221" spans="1:2" x14ac:dyDescent="0.25">
      <c r="A221" s="198">
        <v>41933</v>
      </c>
      <c r="B221" s="244">
        <v>3.2974999999999999</v>
      </c>
    </row>
    <row r="222" spans="1:2" x14ac:dyDescent="0.25">
      <c r="A222" s="198">
        <v>41934</v>
      </c>
      <c r="B222" s="244">
        <v>3.3</v>
      </c>
    </row>
    <row r="223" spans="1:2" x14ac:dyDescent="0.25">
      <c r="A223" s="198">
        <v>41935</v>
      </c>
      <c r="B223" s="244">
        <v>3.2949999999999999</v>
      </c>
    </row>
    <row r="224" spans="1:2" x14ac:dyDescent="0.25">
      <c r="A224" s="198">
        <v>41936</v>
      </c>
      <c r="B224" s="244">
        <v>3.2875000000000001</v>
      </c>
    </row>
    <row r="225" spans="1:2" x14ac:dyDescent="0.25">
      <c r="A225" s="198">
        <v>41939</v>
      </c>
      <c r="B225" s="244">
        <v>3.2837999999999998</v>
      </c>
    </row>
    <row r="226" spans="1:2" x14ac:dyDescent="0.25">
      <c r="A226" s="198">
        <v>41940</v>
      </c>
      <c r="B226" s="244">
        <v>3.2949999999999999</v>
      </c>
    </row>
    <row r="227" spans="1:2" x14ac:dyDescent="0.25">
      <c r="A227" s="198">
        <v>41941</v>
      </c>
      <c r="B227" s="244">
        <v>3.2902999999999998</v>
      </c>
    </row>
    <row r="228" spans="1:2" x14ac:dyDescent="0.25">
      <c r="A228" s="198">
        <v>41942</v>
      </c>
      <c r="B228" s="244">
        <v>3.2761999999999998</v>
      </c>
    </row>
    <row r="229" spans="1:2" x14ac:dyDescent="0.25">
      <c r="A229" s="198">
        <v>41943</v>
      </c>
      <c r="B229" s="244">
        <v>3.2810000000000001</v>
      </c>
    </row>
    <row r="230" spans="1:2" x14ac:dyDescent="0.25">
      <c r="A230" s="198">
        <v>41946</v>
      </c>
      <c r="B230" s="244">
        <v>3.28</v>
      </c>
    </row>
    <row r="231" spans="1:2" x14ac:dyDescent="0.25">
      <c r="A231" s="198">
        <v>41947</v>
      </c>
      <c r="B231" s="244">
        <v>3.2938000000000001</v>
      </c>
    </row>
    <row r="232" spans="1:2" x14ac:dyDescent="0.25">
      <c r="A232" s="198">
        <v>41948</v>
      </c>
      <c r="B232" s="244">
        <v>3.2818999999999998</v>
      </c>
    </row>
    <row r="233" spans="1:2" x14ac:dyDescent="0.25">
      <c r="A233" s="198">
        <v>41949</v>
      </c>
      <c r="B233" s="244">
        <v>3.2755000000000001</v>
      </c>
    </row>
    <row r="234" spans="1:2" x14ac:dyDescent="0.25">
      <c r="A234" s="198">
        <v>41950</v>
      </c>
      <c r="B234" s="244">
        <v>3.2797999999999998</v>
      </c>
    </row>
    <row r="235" spans="1:2" x14ac:dyDescent="0.25">
      <c r="A235" s="198">
        <v>41953</v>
      </c>
      <c r="B235" s="244">
        <v>3.2761999999999998</v>
      </c>
    </row>
    <row r="236" spans="1:2" x14ac:dyDescent="0.25">
      <c r="A236" s="198">
        <v>41954</v>
      </c>
      <c r="B236" s="244">
        <v>3.2746</v>
      </c>
    </row>
    <row r="237" spans="1:2" x14ac:dyDescent="0.25">
      <c r="A237" s="198">
        <v>41955</v>
      </c>
      <c r="B237" s="244">
        <v>3.2949999999999999</v>
      </c>
    </row>
    <row r="238" spans="1:2" x14ac:dyDescent="0.25">
      <c r="A238" s="198">
        <v>41956</v>
      </c>
      <c r="B238" s="244">
        <v>3.2949999999999999</v>
      </c>
    </row>
    <row r="239" spans="1:2" x14ac:dyDescent="0.25">
      <c r="A239" s="198">
        <v>41957</v>
      </c>
      <c r="B239" s="244">
        <v>3.28</v>
      </c>
    </row>
    <row r="240" spans="1:2" x14ac:dyDescent="0.25">
      <c r="A240" s="198">
        <v>41961</v>
      </c>
      <c r="B240" s="244">
        <v>3.28</v>
      </c>
    </row>
    <row r="241" spans="1:2" x14ac:dyDescent="0.25">
      <c r="A241" s="198">
        <v>41962</v>
      </c>
      <c r="B241" s="244">
        <v>3.2774999999999999</v>
      </c>
    </row>
    <row r="242" spans="1:2" x14ac:dyDescent="0.25">
      <c r="A242" s="198">
        <v>41963</v>
      </c>
      <c r="B242" s="244">
        <v>3.2774999999999999</v>
      </c>
    </row>
    <row r="243" spans="1:2" x14ac:dyDescent="0.25">
      <c r="A243" s="198">
        <v>41964</v>
      </c>
      <c r="B243" s="244">
        <v>3.2976999999999999</v>
      </c>
    </row>
    <row r="244" spans="1:2" x14ac:dyDescent="0.25">
      <c r="A244" s="198">
        <v>41967</v>
      </c>
      <c r="B244" s="244">
        <v>3.3025000000000002</v>
      </c>
    </row>
    <row r="245" spans="1:2" x14ac:dyDescent="0.25">
      <c r="A245" s="198">
        <v>41968</v>
      </c>
      <c r="B245" s="244">
        <v>3.2974999999999999</v>
      </c>
    </row>
    <row r="246" spans="1:2" x14ac:dyDescent="0.25">
      <c r="A246" s="198">
        <v>41969</v>
      </c>
      <c r="B246" s="244">
        <v>3.2904</v>
      </c>
    </row>
    <row r="247" spans="1:2" x14ac:dyDescent="0.25">
      <c r="A247" s="198">
        <v>41970</v>
      </c>
      <c r="B247" s="244">
        <v>3.2957000000000001</v>
      </c>
    </row>
    <row r="248" spans="1:2" x14ac:dyDescent="0.25">
      <c r="A248" s="198">
        <v>41971</v>
      </c>
      <c r="B248" s="244">
        <v>3.3085</v>
      </c>
    </row>
    <row r="249" spans="1:2" x14ac:dyDescent="0.25">
      <c r="A249" s="198">
        <v>41974</v>
      </c>
      <c r="B249" s="244">
        <v>3.2965</v>
      </c>
    </row>
    <row r="250" spans="1:2" x14ac:dyDescent="0.25">
      <c r="A250" s="198">
        <v>41975</v>
      </c>
      <c r="B250" s="244">
        <v>3.3025000000000002</v>
      </c>
    </row>
    <row r="251" spans="1:2" x14ac:dyDescent="0.25">
      <c r="A251" s="198">
        <v>41976</v>
      </c>
      <c r="B251" s="244">
        <v>3.2940999999999998</v>
      </c>
    </row>
    <row r="252" spans="1:2" x14ac:dyDescent="0.25">
      <c r="A252" s="198">
        <v>41977</v>
      </c>
      <c r="B252" s="244">
        <v>3.2875000000000001</v>
      </c>
    </row>
    <row r="253" spans="1:2" x14ac:dyDescent="0.25">
      <c r="A253" s="198">
        <v>41978</v>
      </c>
      <c r="B253" s="244">
        <v>3.2850000000000001</v>
      </c>
    </row>
    <row r="254" spans="1:2" x14ac:dyDescent="0.25">
      <c r="A254" s="198">
        <v>41981</v>
      </c>
      <c r="B254" s="244">
        <v>3.2974999999999999</v>
      </c>
    </row>
    <row r="255" spans="1:2" x14ac:dyDescent="0.25">
      <c r="A255" s="198">
        <v>41982</v>
      </c>
      <c r="B255" s="244">
        <v>3.2974999999999999</v>
      </c>
    </row>
    <row r="256" spans="1:2" x14ac:dyDescent="0.25">
      <c r="A256" s="198">
        <v>41983</v>
      </c>
      <c r="B256" s="244">
        <v>3.3007</v>
      </c>
    </row>
    <row r="257" spans="1:2" x14ac:dyDescent="0.25">
      <c r="A257" s="198">
        <v>41984</v>
      </c>
      <c r="B257" s="244">
        <v>3.2928000000000002</v>
      </c>
    </row>
    <row r="258" spans="1:2" x14ac:dyDescent="0.25">
      <c r="A258" s="198">
        <v>41988</v>
      </c>
      <c r="B258" s="244">
        <v>3.2974999999999999</v>
      </c>
    </row>
    <row r="259" spans="1:2" x14ac:dyDescent="0.25">
      <c r="A259" s="198">
        <v>41989</v>
      </c>
      <c r="B259" s="244">
        <v>3.2974999999999999</v>
      </c>
    </row>
    <row r="260" spans="1:2" x14ac:dyDescent="0.25">
      <c r="A260" s="198">
        <v>41990</v>
      </c>
      <c r="B260" s="244">
        <v>3.2995999999999999</v>
      </c>
    </row>
    <row r="261" spans="1:2" x14ac:dyDescent="0.25">
      <c r="A261" s="198">
        <v>41991</v>
      </c>
      <c r="B261" s="244">
        <v>3.2995999999999999</v>
      </c>
    </row>
    <row r="262" spans="1:2" x14ac:dyDescent="0.25">
      <c r="A262" s="198">
        <v>41992</v>
      </c>
      <c r="B262" s="244">
        <v>3.2995999999999999</v>
      </c>
    </row>
    <row r="263" spans="1:2" x14ac:dyDescent="0.25">
      <c r="A263" s="198">
        <v>41995</v>
      </c>
      <c r="B263" s="244">
        <v>3.2974999999999999</v>
      </c>
    </row>
    <row r="264" spans="1:2" x14ac:dyDescent="0.25">
      <c r="A264" s="198">
        <v>41996</v>
      </c>
      <c r="B264" s="244">
        <v>3.3111999999999999</v>
      </c>
    </row>
    <row r="265" spans="1:2" x14ac:dyDescent="0.25">
      <c r="A265" s="198">
        <v>41997</v>
      </c>
      <c r="B265" s="244">
        <v>3.3119999999999998</v>
      </c>
    </row>
    <row r="266" spans="1:2" x14ac:dyDescent="0.25">
      <c r="A266" s="198">
        <v>41999</v>
      </c>
      <c r="B266" s="244">
        <v>3.306</v>
      </c>
    </row>
    <row r="267" spans="1:2" x14ac:dyDescent="0.25">
      <c r="A267" s="198">
        <v>42002</v>
      </c>
      <c r="B267" s="244">
        <v>3.302</v>
      </c>
    </row>
    <row r="268" spans="1:2" x14ac:dyDescent="0.25">
      <c r="A268" s="198">
        <v>42003</v>
      </c>
      <c r="B268" s="244">
        <v>3.3066</v>
      </c>
    </row>
    <row r="269" spans="1:2" x14ac:dyDescent="0.25">
      <c r="A269" s="198">
        <v>42004</v>
      </c>
      <c r="B269" s="244">
        <v>3.3109999999999999</v>
      </c>
    </row>
    <row r="270" spans="1:2" x14ac:dyDescent="0.25">
      <c r="A270" s="198">
        <v>42006</v>
      </c>
      <c r="B270" s="244">
        <v>3.3205</v>
      </c>
    </row>
    <row r="271" spans="1:2" x14ac:dyDescent="0.25">
      <c r="A271" s="198">
        <v>42009</v>
      </c>
      <c r="B271" s="244">
        <v>3.3239999999999998</v>
      </c>
    </row>
    <row r="272" spans="1:2" x14ac:dyDescent="0.25">
      <c r="A272" s="198">
        <v>42010</v>
      </c>
      <c r="B272" s="244">
        <v>3.3224999999999998</v>
      </c>
    </row>
    <row r="273" spans="1:2" x14ac:dyDescent="0.25">
      <c r="A273" s="198">
        <v>42011</v>
      </c>
      <c r="B273" s="244">
        <v>3.3050000000000002</v>
      </c>
    </row>
    <row r="274" spans="1:2" x14ac:dyDescent="0.25">
      <c r="A274" s="198">
        <v>42012</v>
      </c>
      <c r="B274" s="244">
        <v>3.3</v>
      </c>
    </row>
    <row r="275" spans="1:2" x14ac:dyDescent="0.25">
      <c r="A275" s="198">
        <v>42013</v>
      </c>
      <c r="B275" s="244">
        <v>3.3075000000000001</v>
      </c>
    </row>
    <row r="276" spans="1:2" x14ac:dyDescent="0.25">
      <c r="A276" s="198">
        <v>42016</v>
      </c>
      <c r="B276" s="244">
        <v>3.3</v>
      </c>
    </row>
    <row r="277" spans="1:2" x14ac:dyDescent="0.25">
      <c r="A277" s="198">
        <v>42017</v>
      </c>
      <c r="B277" s="244">
        <v>3.2885</v>
      </c>
    </row>
    <row r="278" spans="1:2" x14ac:dyDescent="0.25">
      <c r="A278" s="198">
        <v>42018</v>
      </c>
      <c r="B278" s="244">
        <v>3.2991000000000001</v>
      </c>
    </row>
    <row r="279" spans="1:2" x14ac:dyDescent="0.25">
      <c r="A279" s="198">
        <v>42019</v>
      </c>
      <c r="B279" s="244">
        <v>3.2974999999999999</v>
      </c>
    </row>
    <row r="280" spans="1:2" x14ac:dyDescent="0.25">
      <c r="A280" s="198">
        <v>42020</v>
      </c>
      <c r="B280" s="244">
        <v>3.3025000000000002</v>
      </c>
    </row>
    <row r="281" spans="1:2" x14ac:dyDescent="0.25">
      <c r="A281" s="198">
        <v>42023</v>
      </c>
      <c r="B281" s="244">
        <v>3.2961999999999998</v>
      </c>
    </row>
    <row r="282" spans="1:2" x14ac:dyDescent="0.25">
      <c r="A282" s="198">
        <v>42024</v>
      </c>
      <c r="B282" s="244">
        <v>3.3016999999999999</v>
      </c>
    </row>
    <row r="283" spans="1:2" x14ac:dyDescent="0.25">
      <c r="A283" s="198">
        <v>42025</v>
      </c>
      <c r="B283" s="244">
        <v>3.29</v>
      </c>
    </row>
    <row r="284" spans="1:2" x14ac:dyDescent="0.25">
      <c r="A284" s="198">
        <v>42026</v>
      </c>
      <c r="B284" s="244">
        <v>3.2949999999999999</v>
      </c>
    </row>
    <row r="285" spans="1:2" x14ac:dyDescent="0.25">
      <c r="A285" s="198">
        <v>42027</v>
      </c>
      <c r="B285" s="244">
        <v>3.2925</v>
      </c>
    </row>
    <row r="286" spans="1:2" x14ac:dyDescent="0.25">
      <c r="A286" s="198">
        <v>42030</v>
      </c>
      <c r="B286" s="244">
        <v>3.2974999999999999</v>
      </c>
    </row>
    <row r="287" spans="1:2" x14ac:dyDescent="0.25">
      <c r="A287" s="198">
        <v>42031</v>
      </c>
      <c r="B287" s="244">
        <v>3.3039000000000001</v>
      </c>
    </row>
    <row r="288" spans="1:2" x14ac:dyDescent="0.25">
      <c r="A288" s="198">
        <v>42032</v>
      </c>
      <c r="B288" s="244">
        <v>3.2976999999999999</v>
      </c>
    </row>
    <row r="289" spans="1:2" x14ac:dyDescent="0.25">
      <c r="A289" s="198">
        <v>42033</v>
      </c>
      <c r="B289" s="244">
        <v>3.3050000000000002</v>
      </c>
    </row>
    <row r="290" spans="1:2" x14ac:dyDescent="0.25">
      <c r="A290" s="198">
        <v>42034</v>
      </c>
      <c r="B290" s="244">
        <v>3.2875000000000001</v>
      </c>
    </row>
    <row r="291" spans="1:2" x14ac:dyDescent="0.25">
      <c r="A291" s="198">
        <v>42038</v>
      </c>
      <c r="B291" s="244">
        <v>3.2949999999999999</v>
      </c>
    </row>
    <row r="292" spans="1:2" x14ac:dyDescent="0.25">
      <c r="A292" s="198">
        <v>42039</v>
      </c>
      <c r="B292" s="244">
        <v>3.3010000000000002</v>
      </c>
    </row>
    <row r="293" spans="1:2" x14ac:dyDescent="0.25">
      <c r="A293" s="198">
        <v>42040</v>
      </c>
      <c r="B293" s="244">
        <v>3.3</v>
      </c>
    </row>
    <row r="294" spans="1:2" x14ac:dyDescent="0.25">
      <c r="A294" s="198">
        <v>42041</v>
      </c>
      <c r="B294" s="244">
        <v>3.2925</v>
      </c>
    </row>
    <row r="295" spans="1:2" x14ac:dyDescent="0.25">
      <c r="A295" s="198">
        <v>42044</v>
      </c>
      <c r="B295" s="244">
        <v>3.2909999999999999</v>
      </c>
    </row>
    <row r="296" spans="1:2" x14ac:dyDescent="0.25">
      <c r="A296" s="198">
        <v>42045</v>
      </c>
      <c r="B296" s="244">
        <v>3.2974999999999999</v>
      </c>
    </row>
    <row r="297" spans="1:2" x14ac:dyDescent="0.25">
      <c r="A297" s="198">
        <v>42046</v>
      </c>
      <c r="B297" s="244">
        <v>3.2955000000000001</v>
      </c>
    </row>
    <row r="298" spans="1:2" x14ac:dyDescent="0.25">
      <c r="A298" s="198">
        <v>42047</v>
      </c>
      <c r="B298" s="244">
        <v>3.2890999999999999</v>
      </c>
    </row>
    <row r="299" spans="1:2" x14ac:dyDescent="0.25">
      <c r="A299" s="198">
        <v>42048</v>
      </c>
      <c r="B299" s="244">
        <v>3.3029000000000002</v>
      </c>
    </row>
    <row r="300" spans="1:2" x14ac:dyDescent="0.25">
      <c r="A300" s="198">
        <v>42051</v>
      </c>
      <c r="B300" s="244">
        <v>3.2961</v>
      </c>
    </row>
    <row r="301" spans="1:2" x14ac:dyDescent="0.25">
      <c r="A301" s="198">
        <v>42052</v>
      </c>
      <c r="B301" s="244">
        <v>3.2974999999999999</v>
      </c>
    </row>
    <row r="302" spans="1:2" x14ac:dyDescent="0.25">
      <c r="A302" s="198">
        <v>42053</v>
      </c>
      <c r="B302" s="244">
        <v>3.3</v>
      </c>
    </row>
    <row r="303" spans="1:2" x14ac:dyDescent="0.25">
      <c r="A303" s="198">
        <v>42054</v>
      </c>
      <c r="B303" s="244">
        <v>3.3</v>
      </c>
    </row>
    <row r="304" spans="1:2" x14ac:dyDescent="0.25">
      <c r="A304" s="198">
        <v>42055</v>
      </c>
      <c r="B304" s="244">
        <v>3.2949999999999999</v>
      </c>
    </row>
    <row r="305" spans="1:2" x14ac:dyDescent="0.25">
      <c r="A305" s="198">
        <v>42058</v>
      </c>
      <c r="B305" s="244">
        <v>3.2925</v>
      </c>
    </row>
    <row r="306" spans="1:2" x14ac:dyDescent="0.25">
      <c r="A306" s="198">
        <v>42059</v>
      </c>
      <c r="B306" s="244">
        <v>3.3</v>
      </c>
    </row>
    <row r="307" spans="1:2" x14ac:dyDescent="0.25">
      <c r="A307" s="198">
        <v>42060</v>
      </c>
      <c r="B307" s="244">
        <v>3.3025000000000002</v>
      </c>
    </row>
    <row r="308" spans="1:2" x14ac:dyDescent="0.25">
      <c r="A308" s="198">
        <v>42061</v>
      </c>
      <c r="B308" s="244">
        <v>3.3041</v>
      </c>
    </row>
    <row r="309" spans="1:2" x14ac:dyDescent="0.25">
      <c r="A309" s="198">
        <v>42062</v>
      </c>
      <c r="B309" s="244">
        <v>3.2925</v>
      </c>
    </row>
    <row r="310" spans="1:2" x14ac:dyDescent="0.25">
      <c r="A310" s="198">
        <v>42065</v>
      </c>
      <c r="B310" s="244">
        <v>3.2987000000000002</v>
      </c>
    </row>
    <row r="311" spans="1:2" x14ac:dyDescent="0.25">
      <c r="A311" s="198">
        <v>42066</v>
      </c>
      <c r="B311" s="244">
        <v>3.29</v>
      </c>
    </row>
    <row r="312" spans="1:2" x14ac:dyDescent="0.25">
      <c r="A312" s="198">
        <v>42067</v>
      </c>
      <c r="B312" s="244">
        <v>3.2934000000000001</v>
      </c>
    </row>
    <row r="313" spans="1:2" x14ac:dyDescent="0.25">
      <c r="A313" s="198">
        <v>42068</v>
      </c>
      <c r="B313" s="244">
        <v>3.2953000000000001</v>
      </c>
    </row>
    <row r="314" spans="1:2" x14ac:dyDescent="0.25">
      <c r="A314" s="198">
        <v>42069</v>
      </c>
      <c r="B314" s="244">
        <v>3.2875000000000001</v>
      </c>
    </row>
    <row r="315" spans="1:2" x14ac:dyDescent="0.25">
      <c r="A315" s="198">
        <v>42072</v>
      </c>
      <c r="B315" s="244">
        <v>3.3037000000000001</v>
      </c>
    </row>
    <row r="316" spans="1:2" x14ac:dyDescent="0.25">
      <c r="A316" s="198">
        <v>42073</v>
      </c>
      <c r="B316" s="244">
        <v>3.3050000000000002</v>
      </c>
    </row>
    <row r="317" spans="1:2" x14ac:dyDescent="0.25">
      <c r="A317" s="198">
        <v>42074</v>
      </c>
      <c r="B317" s="244">
        <v>3.3075000000000001</v>
      </c>
    </row>
    <row r="318" spans="1:2" x14ac:dyDescent="0.25">
      <c r="A318" s="198">
        <v>42075</v>
      </c>
      <c r="B318" s="244">
        <v>3.31</v>
      </c>
    </row>
    <row r="319" spans="1:2" x14ac:dyDescent="0.25">
      <c r="A319" s="198">
        <v>42076</v>
      </c>
      <c r="B319" s="244">
        <v>3.3025000000000002</v>
      </c>
    </row>
    <row r="320" spans="1:2" x14ac:dyDescent="0.25">
      <c r="A320" s="198">
        <v>42080</v>
      </c>
      <c r="B320" s="244">
        <v>3.3111999999999999</v>
      </c>
    </row>
    <row r="321" spans="1:2" x14ac:dyDescent="0.25">
      <c r="A321" s="198">
        <v>42081</v>
      </c>
      <c r="B321" s="244">
        <v>3.3140000000000001</v>
      </c>
    </row>
    <row r="322" spans="1:2" x14ac:dyDescent="0.25">
      <c r="A322" s="198">
        <v>42082</v>
      </c>
      <c r="B322" s="244">
        <v>3.3090000000000002</v>
      </c>
    </row>
    <row r="323" spans="1:2" x14ac:dyDescent="0.25">
      <c r="A323" s="198">
        <v>42083</v>
      </c>
      <c r="B323" s="244">
        <v>3.2989999999999999</v>
      </c>
    </row>
    <row r="324" spans="1:2" x14ac:dyDescent="0.25">
      <c r="A324" s="198">
        <v>42086</v>
      </c>
      <c r="B324" s="244">
        <v>3.3029999999999999</v>
      </c>
    </row>
    <row r="325" spans="1:2" x14ac:dyDescent="0.25">
      <c r="A325" s="198">
        <v>42087</v>
      </c>
      <c r="B325" s="244">
        <v>3.3050000000000002</v>
      </c>
    </row>
    <row r="326" spans="1:2" x14ac:dyDescent="0.25">
      <c r="A326" s="198">
        <v>42088</v>
      </c>
      <c r="B326" s="244">
        <v>3.3083</v>
      </c>
    </row>
    <row r="327" spans="1:2" x14ac:dyDescent="0.25">
      <c r="A327" s="198">
        <v>42089</v>
      </c>
      <c r="B327" s="244">
        <v>3.3075000000000001</v>
      </c>
    </row>
    <row r="328" spans="1:2" x14ac:dyDescent="0.25">
      <c r="A328" s="198">
        <v>42090</v>
      </c>
      <c r="B328" s="244">
        <v>3.31</v>
      </c>
    </row>
    <row r="329" spans="1:2" x14ac:dyDescent="0.25">
      <c r="A329" s="198">
        <v>42093</v>
      </c>
      <c r="B329" s="244">
        <v>3.3050000000000002</v>
      </c>
    </row>
    <row r="330" spans="1:2" x14ac:dyDescent="0.25">
      <c r="A330" s="198">
        <v>42094</v>
      </c>
      <c r="B330" s="244">
        <v>3.2955000000000001</v>
      </c>
    </row>
    <row r="331" spans="1:2" x14ac:dyDescent="0.25">
      <c r="A331" s="198">
        <v>42095</v>
      </c>
      <c r="B331" s="244">
        <v>3.2989999999999999</v>
      </c>
    </row>
    <row r="332" spans="1:2" x14ac:dyDescent="0.25">
      <c r="A332" s="198">
        <v>42100</v>
      </c>
      <c r="B332" s="244">
        <v>3.2949999999999999</v>
      </c>
    </row>
    <row r="333" spans="1:2" x14ac:dyDescent="0.25">
      <c r="A333" s="198">
        <v>42101</v>
      </c>
      <c r="B333" s="244">
        <v>3.3</v>
      </c>
    </row>
    <row r="334" spans="1:2" x14ac:dyDescent="0.25">
      <c r="A334" s="198">
        <v>42102</v>
      </c>
      <c r="B334" s="244">
        <v>3.29</v>
      </c>
    </row>
    <row r="335" spans="1:2" x14ac:dyDescent="0.25">
      <c r="A335" s="198">
        <v>42103</v>
      </c>
      <c r="B335" s="244">
        <v>3.3050000000000002</v>
      </c>
    </row>
    <row r="336" spans="1:2" x14ac:dyDescent="0.25">
      <c r="A336" s="198">
        <v>42104</v>
      </c>
      <c r="B336" s="244">
        <v>3.31</v>
      </c>
    </row>
    <row r="337" spans="1:2" x14ac:dyDescent="0.25">
      <c r="A337" s="198">
        <v>42107</v>
      </c>
      <c r="B337" s="244">
        <v>3.3081999999999998</v>
      </c>
    </row>
    <row r="338" spans="1:2" x14ac:dyDescent="0.25">
      <c r="A338" s="198">
        <v>42108</v>
      </c>
      <c r="B338" s="244">
        <v>3.3</v>
      </c>
    </row>
    <row r="339" spans="1:2" x14ac:dyDescent="0.25">
      <c r="A339" s="198">
        <v>42109</v>
      </c>
      <c r="B339" s="244">
        <v>3.3</v>
      </c>
    </row>
    <row r="340" spans="1:2" x14ac:dyDescent="0.25">
      <c r="A340" s="198">
        <v>42110</v>
      </c>
      <c r="B340" s="244">
        <v>3.278</v>
      </c>
    </row>
    <row r="341" spans="1:2" x14ac:dyDescent="0.25">
      <c r="A341" s="198">
        <v>42111</v>
      </c>
      <c r="B341" s="244">
        <v>3.2850000000000001</v>
      </c>
    </row>
    <row r="342" spans="1:2" x14ac:dyDescent="0.25">
      <c r="A342" s="198">
        <v>42114</v>
      </c>
      <c r="B342" s="244">
        <v>3.2949999999999999</v>
      </c>
    </row>
    <row r="343" spans="1:2" x14ac:dyDescent="0.25">
      <c r="A343" s="198">
        <v>42115</v>
      </c>
      <c r="B343" s="244">
        <v>3.2955000000000001</v>
      </c>
    </row>
    <row r="344" spans="1:2" x14ac:dyDescent="0.25">
      <c r="A344" s="198">
        <v>42116</v>
      </c>
      <c r="B344" s="244">
        <v>3.2970000000000002</v>
      </c>
    </row>
    <row r="345" spans="1:2" x14ac:dyDescent="0.25">
      <c r="A345" s="198">
        <v>42117</v>
      </c>
      <c r="B345" s="244">
        <v>3.2930000000000001</v>
      </c>
    </row>
    <row r="346" spans="1:2" x14ac:dyDescent="0.25">
      <c r="A346" s="198">
        <v>42118</v>
      </c>
      <c r="B346" s="244">
        <v>3.3046000000000002</v>
      </c>
    </row>
    <row r="347" spans="1:2" x14ac:dyDescent="0.25">
      <c r="A347" s="198">
        <v>42121</v>
      </c>
      <c r="B347" s="244">
        <v>3.3</v>
      </c>
    </row>
    <row r="348" spans="1:2" x14ac:dyDescent="0.25">
      <c r="A348" s="198">
        <v>42122</v>
      </c>
      <c r="B348" s="244">
        <v>3.29</v>
      </c>
    </row>
    <row r="349" spans="1:2" x14ac:dyDescent="0.25">
      <c r="A349" s="198">
        <v>42123</v>
      </c>
      <c r="B349" s="244">
        <v>3.2875000000000001</v>
      </c>
    </row>
    <row r="350" spans="1:2" x14ac:dyDescent="0.25">
      <c r="A350" s="198">
        <v>42124</v>
      </c>
      <c r="B350" s="244">
        <v>3.2974999999999999</v>
      </c>
    </row>
    <row r="351" spans="1:2" x14ac:dyDescent="0.25">
      <c r="A351" s="198">
        <v>42128</v>
      </c>
      <c r="B351" s="244">
        <v>3.3062</v>
      </c>
    </row>
    <row r="352" spans="1:2" x14ac:dyDescent="0.25">
      <c r="A352" s="198">
        <v>42129</v>
      </c>
      <c r="B352" s="244">
        <v>3.3</v>
      </c>
    </row>
    <row r="353" spans="1:2" x14ac:dyDescent="0.25">
      <c r="A353" s="198">
        <v>42130</v>
      </c>
      <c r="B353" s="244">
        <v>3.2949999999999999</v>
      </c>
    </row>
    <row r="354" spans="1:2" x14ac:dyDescent="0.25">
      <c r="A354" s="198">
        <v>42131</v>
      </c>
      <c r="B354" s="244">
        <v>3.3075000000000001</v>
      </c>
    </row>
    <row r="355" spans="1:2" x14ac:dyDescent="0.25">
      <c r="A355" s="198">
        <v>42132</v>
      </c>
      <c r="B355" s="244">
        <v>3.3</v>
      </c>
    </row>
    <row r="356" spans="1:2" x14ac:dyDescent="0.25">
      <c r="A356" s="198">
        <v>42135</v>
      </c>
      <c r="B356" s="244">
        <v>3.3</v>
      </c>
    </row>
    <row r="357" spans="1:2" x14ac:dyDescent="0.25">
      <c r="A357" s="198">
        <v>42136</v>
      </c>
      <c r="B357" s="244">
        <v>3.3</v>
      </c>
    </row>
    <row r="358" spans="1:2" x14ac:dyDescent="0.25">
      <c r="A358" s="198">
        <v>42137</v>
      </c>
      <c r="B358" s="244">
        <v>3.3065000000000002</v>
      </c>
    </row>
    <row r="359" spans="1:2" x14ac:dyDescent="0.25">
      <c r="A359" s="198">
        <v>42138</v>
      </c>
      <c r="B359" s="244">
        <v>3.302</v>
      </c>
    </row>
    <row r="360" spans="1:2" x14ac:dyDescent="0.25">
      <c r="A360" s="198">
        <v>42139</v>
      </c>
      <c r="B360" s="244">
        <v>3.3</v>
      </c>
    </row>
    <row r="361" spans="1:2" x14ac:dyDescent="0.25">
      <c r="A361" s="198">
        <v>42142</v>
      </c>
      <c r="B361" s="244">
        <v>3.2934999999999999</v>
      </c>
    </row>
    <row r="362" spans="1:2" x14ac:dyDescent="0.25">
      <c r="A362" s="198">
        <v>42143</v>
      </c>
      <c r="B362" s="244">
        <v>3.2995000000000001</v>
      </c>
    </row>
    <row r="363" spans="1:2" x14ac:dyDescent="0.25">
      <c r="A363" s="198">
        <v>42144</v>
      </c>
      <c r="B363" s="244">
        <v>3.2945000000000002</v>
      </c>
    </row>
    <row r="364" spans="1:2" x14ac:dyDescent="0.25">
      <c r="A364" s="198">
        <v>42145</v>
      </c>
      <c r="B364" s="244">
        <v>3.31</v>
      </c>
    </row>
    <row r="365" spans="1:2" x14ac:dyDescent="0.25">
      <c r="A365" s="198">
        <v>42146</v>
      </c>
      <c r="B365" s="244">
        <v>3.2989999999999999</v>
      </c>
    </row>
    <row r="366" spans="1:2" x14ac:dyDescent="0.25">
      <c r="A366" s="198">
        <v>42149</v>
      </c>
      <c r="B366" s="244">
        <v>3.3071999999999999</v>
      </c>
    </row>
    <row r="367" spans="1:2" x14ac:dyDescent="0.25">
      <c r="A367" s="198">
        <v>42150</v>
      </c>
      <c r="B367" s="244">
        <v>3.3050000000000002</v>
      </c>
    </row>
    <row r="368" spans="1:2" x14ac:dyDescent="0.25">
      <c r="A368" s="198">
        <v>42151</v>
      </c>
      <c r="B368" s="244">
        <v>3.3</v>
      </c>
    </row>
    <row r="369" spans="1:2" x14ac:dyDescent="0.25">
      <c r="A369" s="198">
        <v>42152</v>
      </c>
      <c r="B369" s="244">
        <v>3.3025000000000002</v>
      </c>
    </row>
    <row r="370" spans="1:2" x14ac:dyDescent="0.25">
      <c r="A370" s="198">
        <v>42153</v>
      </c>
      <c r="B370" s="244">
        <v>3.2949999999999999</v>
      </c>
    </row>
    <row r="371" spans="1:2" x14ac:dyDescent="0.25">
      <c r="A371" s="198">
        <v>42156</v>
      </c>
      <c r="B371" s="244">
        <v>3.3</v>
      </c>
    </row>
    <row r="372" spans="1:2" x14ac:dyDescent="0.25">
      <c r="A372" s="198">
        <v>42157</v>
      </c>
      <c r="B372" s="244">
        <v>3.3089</v>
      </c>
    </row>
    <row r="373" spans="1:2" x14ac:dyDescent="0.25">
      <c r="A373" s="198">
        <v>42158</v>
      </c>
      <c r="B373" s="244">
        <v>3.3075000000000001</v>
      </c>
    </row>
    <row r="374" spans="1:2" x14ac:dyDescent="0.25">
      <c r="A374" s="198">
        <v>42159</v>
      </c>
      <c r="B374" s="244">
        <v>3.3</v>
      </c>
    </row>
    <row r="375" spans="1:2" x14ac:dyDescent="0.25">
      <c r="A375" s="198">
        <v>42160</v>
      </c>
      <c r="B375" s="244">
        <v>3.31</v>
      </c>
    </row>
    <row r="376" spans="1:2" x14ac:dyDescent="0.25">
      <c r="A376" s="198">
        <v>42163</v>
      </c>
      <c r="B376" s="244">
        <v>3.3105000000000002</v>
      </c>
    </row>
    <row r="377" spans="1:2" x14ac:dyDescent="0.25">
      <c r="A377" s="198">
        <v>42164</v>
      </c>
      <c r="B377" s="244">
        <v>3.3094000000000001</v>
      </c>
    </row>
    <row r="378" spans="1:2" x14ac:dyDescent="0.25">
      <c r="A378" s="198">
        <v>42165</v>
      </c>
      <c r="B378" s="244">
        <v>3.3</v>
      </c>
    </row>
    <row r="379" spans="1:2" x14ac:dyDescent="0.25">
      <c r="A379" s="198">
        <v>42166</v>
      </c>
      <c r="B379" s="244">
        <v>3.2949999999999999</v>
      </c>
    </row>
    <row r="380" spans="1:2" x14ac:dyDescent="0.25">
      <c r="A380" s="198">
        <v>42167</v>
      </c>
      <c r="B380" s="244">
        <v>3.3144999999999998</v>
      </c>
    </row>
    <row r="381" spans="1:2" x14ac:dyDescent="0.25">
      <c r="A381" s="198">
        <v>42170</v>
      </c>
      <c r="B381" s="244">
        <v>3.3025000000000002</v>
      </c>
    </row>
    <row r="382" spans="1:2" x14ac:dyDescent="0.25">
      <c r="A382" s="198">
        <v>42171</v>
      </c>
      <c r="B382" s="244">
        <v>3.3050000000000002</v>
      </c>
    </row>
    <row r="383" spans="1:2" x14ac:dyDescent="0.25">
      <c r="A383" s="198">
        <v>42172</v>
      </c>
      <c r="B383" s="244">
        <v>3.3079999999999998</v>
      </c>
    </row>
    <row r="384" spans="1:2" x14ac:dyDescent="0.25">
      <c r="A384" s="198">
        <v>42173</v>
      </c>
      <c r="B384" s="244">
        <v>3.31</v>
      </c>
    </row>
    <row r="385" spans="1:2" x14ac:dyDescent="0.25">
      <c r="A385" s="198">
        <v>42174</v>
      </c>
      <c r="B385" s="244">
        <v>3.31</v>
      </c>
    </row>
    <row r="386" spans="1:2" x14ac:dyDescent="0.25">
      <c r="A386" s="198">
        <v>42177</v>
      </c>
      <c r="B386" s="244">
        <v>3.3025000000000002</v>
      </c>
    </row>
    <row r="387" spans="1:2" x14ac:dyDescent="0.25">
      <c r="A387" s="198">
        <v>42178</v>
      </c>
      <c r="B387" s="244">
        <v>3.3088000000000002</v>
      </c>
    </row>
    <row r="388" spans="1:2" x14ac:dyDescent="0.25">
      <c r="A388" s="198">
        <v>42179</v>
      </c>
      <c r="B388" s="244">
        <v>3.3025000000000002</v>
      </c>
    </row>
    <row r="389" spans="1:2" x14ac:dyDescent="0.25">
      <c r="A389" s="198">
        <v>42180</v>
      </c>
      <c r="B389" s="244">
        <v>3.2974999999999999</v>
      </c>
    </row>
    <row r="390" spans="1:2" x14ac:dyDescent="0.25">
      <c r="A390" s="198">
        <v>42181</v>
      </c>
      <c r="B390" s="244">
        <v>3.2949999999999999</v>
      </c>
    </row>
    <row r="391" spans="1:2" x14ac:dyDescent="0.25">
      <c r="A391" s="198">
        <v>42184</v>
      </c>
      <c r="B391" s="244">
        <v>3.3025000000000002</v>
      </c>
    </row>
    <row r="392" spans="1:2" x14ac:dyDescent="0.25">
      <c r="A392" s="198">
        <v>42185</v>
      </c>
      <c r="B392" s="244">
        <v>3.3025000000000002</v>
      </c>
    </row>
    <row r="393" spans="1:2" x14ac:dyDescent="0.25">
      <c r="A393" s="198">
        <v>42186</v>
      </c>
      <c r="B393" s="244">
        <v>3.31</v>
      </c>
    </row>
    <row r="394" spans="1:2" x14ac:dyDescent="0.25">
      <c r="A394" s="198">
        <v>42187</v>
      </c>
      <c r="B394" s="244">
        <v>3.3025000000000002</v>
      </c>
    </row>
    <row r="395" spans="1:2" x14ac:dyDescent="0.25">
      <c r="A395" s="198">
        <v>42188</v>
      </c>
      <c r="B395" s="244">
        <v>3.3037000000000001</v>
      </c>
    </row>
    <row r="396" spans="1:2" x14ac:dyDescent="0.25">
      <c r="A396" s="198">
        <v>42191</v>
      </c>
      <c r="B396" s="244">
        <v>3.3</v>
      </c>
    </row>
    <row r="397" spans="1:2" x14ac:dyDescent="0.25">
      <c r="A397" s="198">
        <v>42192</v>
      </c>
      <c r="B397" s="244">
        <v>3.2988</v>
      </c>
    </row>
    <row r="398" spans="1:2" x14ac:dyDescent="0.25">
      <c r="A398" s="198">
        <v>42193</v>
      </c>
      <c r="B398" s="244">
        <v>3.2925</v>
      </c>
    </row>
    <row r="399" spans="1:2" x14ac:dyDescent="0.25">
      <c r="A399" s="198">
        <v>42194</v>
      </c>
      <c r="B399" s="244">
        <v>3.2966000000000002</v>
      </c>
    </row>
    <row r="400" spans="1:2" x14ac:dyDescent="0.25">
      <c r="A400" s="198">
        <v>42195</v>
      </c>
      <c r="B400" s="244">
        <v>3.2959999999999998</v>
      </c>
    </row>
    <row r="401" spans="1:2" x14ac:dyDescent="0.25">
      <c r="A401" s="198">
        <v>42198</v>
      </c>
      <c r="B401" s="244">
        <v>3.2955999999999999</v>
      </c>
    </row>
    <row r="402" spans="1:2" x14ac:dyDescent="0.25">
      <c r="A402" s="198">
        <v>42199</v>
      </c>
      <c r="B402" s="244">
        <v>3.2987000000000002</v>
      </c>
    </row>
    <row r="403" spans="1:2" x14ac:dyDescent="0.25">
      <c r="A403" s="198">
        <v>42200</v>
      </c>
      <c r="B403" s="244">
        <v>3.3075000000000001</v>
      </c>
    </row>
    <row r="404" spans="1:2" x14ac:dyDescent="0.25">
      <c r="A404" s="198">
        <v>42201</v>
      </c>
      <c r="B404" s="244">
        <v>3.3094999999999999</v>
      </c>
    </row>
    <row r="405" spans="1:2" x14ac:dyDescent="0.25">
      <c r="A405" s="198">
        <v>42202</v>
      </c>
      <c r="B405" s="244">
        <v>3.3025000000000002</v>
      </c>
    </row>
    <row r="406" spans="1:2" x14ac:dyDescent="0.25">
      <c r="A406" s="198">
        <v>42205</v>
      </c>
      <c r="B406" s="244">
        <v>3.3</v>
      </c>
    </row>
    <row r="407" spans="1:2" x14ac:dyDescent="0.25">
      <c r="A407" s="198">
        <v>42206</v>
      </c>
      <c r="B407" s="244">
        <v>3.3041999999999998</v>
      </c>
    </row>
    <row r="408" spans="1:2" x14ac:dyDescent="0.25">
      <c r="A408" s="198">
        <v>42207</v>
      </c>
      <c r="B408" s="244">
        <v>3.3087</v>
      </c>
    </row>
    <row r="409" spans="1:2" x14ac:dyDescent="0.25">
      <c r="A409" s="198">
        <v>42208</v>
      </c>
      <c r="B409" s="244">
        <v>3.3050000000000002</v>
      </c>
    </row>
    <row r="410" spans="1:2" x14ac:dyDescent="0.25">
      <c r="A410" s="198">
        <v>42209</v>
      </c>
      <c r="B410" s="244">
        <v>3.3075000000000001</v>
      </c>
    </row>
    <row r="411" spans="1:2" x14ac:dyDescent="0.25">
      <c r="A411" s="198">
        <v>42212</v>
      </c>
      <c r="B411" s="244">
        <v>3.31</v>
      </c>
    </row>
    <row r="412" spans="1:2" x14ac:dyDescent="0.25">
      <c r="A412" s="198">
        <v>42213</v>
      </c>
      <c r="B412" s="244">
        <v>3.3130000000000002</v>
      </c>
    </row>
    <row r="413" spans="1:2" x14ac:dyDescent="0.25">
      <c r="A413" s="198">
        <v>42214</v>
      </c>
      <c r="B413" s="244">
        <v>3.3050000000000002</v>
      </c>
    </row>
    <row r="414" spans="1:2" x14ac:dyDescent="0.25">
      <c r="A414" s="198">
        <v>42215</v>
      </c>
      <c r="B414" s="244">
        <v>3.3025000000000002</v>
      </c>
    </row>
    <row r="415" spans="1:2" x14ac:dyDescent="0.25">
      <c r="A415" s="198">
        <v>42216</v>
      </c>
      <c r="B415" s="244">
        <v>3.3111999999999999</v>
      </c>
    </row>
    <row r="416" spans="1:2" x14ac:dyDescent="0.25">
      <c r="A416" s="198">
        <v>42219</v>
      </c>
      <c r="B416" s="244">
        <v>3.3140000000000001</v>
      </c>
    </row>
    <row r="417" spans="1:2" x14ac:dyDescent="0.25">
      <c r="A417" s="198">
        <v>42220</v>
      </c>
      <c r="B417" s="244">
        <v>3.3075000000000001</v>
      </c>
    </row>
    <row r="418" spans="1:2" x14ac:dyDescent="0.25">
      <c r="A418" s="198">
        <v>42221</v>
      </c>
      <c r="B418" s="244">
        <v>3.31</v>
      </c>
    </row>
    <row r="419" spans="1:2" x14ac:dyDescent="0.25">
      <c r="A419" s="198">
        <v>42222</v>
      </c>
      <c r="B419" s="244">
        <v>3.3132000000000001</v>
      </c>
    </row>
    <row r="420" spans="1:2" x14ac:dyDescent="0.25">
      <c r="A420" s="198">
        <v>42223</v>
      </c>
      <c r="B420" s="244">
        <v>3.31</v>
      </c>
    </row>
    <row r="421" spans="1:2" x14ac:dyDescent="0.25">
      <c r="A421" s="198">
        <v>42226</v>
      </c>
      <c r="B421" s="244">
        <v>3.3134000000000001</v>
      </c>
    </row>
    <row r="422" spans="1:2" x14ac:dyDescent="0.25">
      <c r="A422" s="198">
        <v>42227</v>
      </c>
      <c r="B422" s="244">
        <v>3.3094999999999999</v>
      </c>
    </row>
    <row r="423" spans="1:2" x14ac:dyDescent="0.25">
      <c r="A423" s="198">
        <v>42228</v>
      </c>
      <c r="B423" s="244">
        <v>3.3075000000000001</v>
      </c>
    </row>
    <row r="424" spans="1:2" x14ac:dyDescent="0.25">
      <c r="A424" s="198">
        <v>42229</v>
      </c>
      <c r="B424" s="244">
        <v>3.3075000000000001</v>
      </c>
    </row>
    <row r="425" spans="1:2" x14ac:dyDescent="0.25">
      <c r="A425" s="198">
        <v>42230</v>
      </c>
      <c r="B425" s="244">
        <v>3.3115999999999999</v>
      </c>
    </row>
    <row r="426" spans="1:2" x14ac:dyDescent="0.25">
      <c r="A426" s="198">
        <v>42233</v>
      </c>
      <c r="B426" s="244">
        <v>3.31</v>
      </c>
    </row>
    <row r="427" spans="1:2" x14ac:dyDescent="0.25">
      <c r="A427" s="198">
        <v>42234</v>
      </c>
      <c r="B427" s="244">
        <v>3.3130000000000002</v>
      </c>
    </row>
    <row r="428" spans="1:2" x14ac:dyDescent="0.25">
      <c r="A428" s="198">
        <v>42235</v>
      </c>
      <c r="B428" s="244">
        <v>3.31</v>
      </c>
    </row>
    <row r="429" spans="1:2" x14ac:dyDescent="0.25">
      <c r="A429" s="198">
        <v>42236</v>
      </c>
      <c r="B429" s="244">
        <v>3.3172999999999999</v>
      </c>
    </row>
    <row r="430" spans="1:2" x14ac:dyDescent="0.25">
      <c r="A430" s="198">
        <v>42237</v>
      </c>
      <c r="B430" s="244">
        <v>3.3210000000000002</v>
      </c>
    </row>
    <row r="431" spans="1:2" x14ac:dyDescent="0.25">
      <c r="A431" s="198">
        <v>42240</v>
      </c>
      <c r="B431" s="244">
        <v>3.3199000000000001</v>
      </c>
    </row>
    <row r="432" spans="1:2" x14ac:dyDescent="0.25">
      <c r="A432" s="198">
        <v>42241</v>
      </c>
      <c r="B432" s="244">
        <v>3.3321000000000001</v>
      </c>
    </row>
    <row r="433" spans="1:2" x14ac:dyDescent="0.25">
      <c r="A433" s="198">
        <v>42242</v>
      </c>
      <c r="B433" s="244">
        <v>3.3260000000000001</v>
      </c>
    </row>
    <row r="434" spans="1:2" x14ac:dyDescent="0.25">
      <c r="A434" s="198">
        <v>42243</v>
      </c>
      <c r="B434" s="244">
        <v>3.33</v>
      </c>
    </row>
    <row r="435" spans="1:2" x14ac:dyDescent="0.25">
      <c r="A435" s="198">
        <v>42244</v>
      </c>
      <c r="B435" s="244">
        <v>3.3260000000000001</v>
      </c>
    </row>
    <row r="436" spans="1:2" x14ac:dyDescent="0.25">
      <c r="A436" s="198">
        <v>42247</v>
      </c>
      <c r="B436" s="244">
        <v>3.33</v>
      </c>
    </row>
    <row r="437" spans="1:2" x14ac:dyDescent="0.25">
      <c r="A437" s="198">
        <v>42248</v>
      </c>
      <c r="B437" s="244">
        <v>3.335</v>
      </c>
    </row>
    <row r="438" spans="1:2" x14ac:dyDescent="0.25">
      <c r="A438" s="198">
        <v>42249</v>
      </c>
      <c r="B438" s="244">
        <v>3.335</v>
      </c>
    </row>
    <row r="439" spans="1:2" x14ac:dyDescent="0.25">
      <c r="A439" s="198">
        <v>42250</v>
      </c>
      <c r="B439" s="244">
        <v>3.3357999999999999</v>
      </c>
    </row>
    <row r="440" spans="1:2" x14ac:dyDescent="0.25">
      <c r="A440" s="198">
        <v>42251</v>
      </c>
      <c r="B440" s="244">
        <v>3.335</v>
      </c>
    </row>
    <row r="441" spans="1:2" x14ac:dyDescent="0.25">
      <c r="A441" s="198">
        <v>42254</v>
      </c>
      <c r="B441" s="244">
        <v>3.3340000000000001</v>
      </c>
    </row>
    <row r="442" spans="1:2" x14ac:dyDescent="0.25">
      <c r="A442" s="198">
        <v>42255</v>
      </c>
      <c r="B442" s="244">
        <v>3.339</v>
      </c>
    </row>
    <row r="443" spans="1:2" x14ac:dyDescent="0.25">
      <c r="A443" s="198">
        <v>42256</v>
      </c>
      <c r="B443" s="244">
        <v>3.3420000000000001</v>
      </c>
    </row>
    <row r="444" spans="1:2" x14ac:dyDescent="0.25">
      <c r="A444" s="198">
        <v>42257</v>
      </c>
      <c r="B444" s="244">
        <v>3.3424999999999998</v>
      </c>
    </row>
    <row r="445" spans="1:2" x14ac:dyDescent="0.25">
      <c r="A445" s="198">
        <v>42258</v>
      </c>
      <c r="B445" s="244">
        <v>3.3435999999999999</v>
      </c>
    </row>
    <row r="446" spans="1:2" x14ac:dyDescent="0.25">
      <c r="A446" s="198">
        <v>42261</v>
      </c>
      <c r="B446" s="244">
        <v>3.3443999999999998</v>
      </c>
    </row>
    <row r="447" spans="1:2" x14ac:dyDescent="0.25">
      <c r="A447" s="198">
        <v>42262</v>
      </c>
      <c r="B447" s="244">
        <v>3.3439000000000001</v>
      </c>
    </row>
    <row r="448" spans="1:2" x14ac:dyDescent="0.25">
      <c r="A448" s="198">
        <v>42264</v>
      </c>
      <c r="B448" s="244">
        <v>3.3464999999999998</v>
      </c>
    </row>
    <row r="449" spans="1:2" x14ac:dyDescent="0.25">
      <c r="A449" s="198">
        <v>42265</v>
      </c>
      <c r="B449" s="244">
        <v>3.3414999999999999</v>
      </c>
    </row>
    <row r="450" spans="1:2" x14ac:dyDescent="0.25">
      <c r="A450" s="198">
        <v>42268</v>
      </c>
      <c r="B450" s="244">
        <v>3.3256999999999999</v>
      </c>
    </row>
    <row r="451" spans="1:2" x14ac:dyDescent="0.25">
      <c r="A451" s="198">
        <v>42269</v>
      </c>
      <c r="B451" s="244">
        <v>3.33</v>
      </c>
    </row>
    <row r="452" spans="1:2" x14ac:dyDescent="0.25">
      <c r="A452" s="198">
        <v>42270</v>
      </c>
      <c r="B452" s="244">
        <v>3.3289</v>
      </c>
    </row>
    <row r="453" spans="1:2" x14ac:dyDescent="0.25">
      <c r="A453" s="198">
        <v>42271</v>
      </c>
      <c r="B453" s="244">
        <v>3.32</v>
      </c>
    </row>
    <row r="454" spans="1:2" x14ac:dyDescent="0.25">
      <c r="A454" s="198">
        <v>42272</v>
      </c>
      <c r="B454" s="244">
        <v>3.3224999999999998</v>
      </c>
    </row>
    <row r="455" spans="1:2" x14ac:dyDescent="0.25">
      <c r="A455" s="198">
        <v>42275</v>
      </c>
      <c r="B455" s="244">
        <v>3.3250000000000002</v>
      </c>
    </row>
    <row r="456" spans="1:2" x14ac:dyDescent="0.25">
      <c r="A456" s="198">
        <v>42276</v>
      </c>
      <c r="B456" s="244">
        <v>3.3250000000000002</v>
      </c>
    </row>
    <row r="457" spans="1:2" x14ac:dyDescent="0.25">
      <c r="A457" s="198">
        <v>42277</v>
      </c>
      <c r="B457" s="244">
        <v>3.3250000000000002</v>
      </c>
    </row>
    <row r="458" spans="1:2" x14ac:dyDescent="0.25">
      <c r="A458" s="198">
        <v>42278</v>
      </c>
      <c r="B458" s="244">
        <v>3.3224999999999998</v>
      </c>
    </row>
    <row r="459" spans="1:2" x14ac:dyDescent="0.25">
      <c r="A459" s="198">
        <v>42279</v>
      </c>
      <c r="B459" s="244">
        <v>3.3247</v>
      </c>
    </row>
    <row r="460" spans="1:2" x14ac:dyDescent="0.25">
      <c r="A460" s="198">
        <v>42282</v>
      </c>
      <c r="B460" s="244">
        <v>3.3125</v>
      </c>
    </row>
    <row r="461" spans="1:2" x14ac:dyDescent="0.25">
      <c r="A461" s="198">
        <v>42283</v>
      </c>
      <c r="B461" s="244">
        <v>3.31</v>
      </c>
    </row>
    <row r="462" spans="1:2" x14ac:dyDescent="0.25">
      <c r="A462" s="198">
        <v>42284</v>
      </c>
      <c r="B462" s="244">
        <v>3.3134000000000001</v>
      </c>
    </row>
    <row r="463" spans="1:2" x14ac:dyDescent="0.25">
      <c r="A463" s="198">
        <v>42285</v>
      </c>
      <c r="B463" s="244">
        <v>3.3050000000000002</v>
      </c>
    </row>
    <row r="464" spans="1:2" x14ac:dyDescent="0.25">
      <c r="A464" s="198">
        <v>42286</v>
      </c>
      <c r="B464" s="244">
        <v>3.3106</v>
      </c>
    </row>
    <row r="465" spans="1:2" x14ac:dyDescent="0.25">
      <c r="A465" s="198">
        <v>42289</v>
      </c>
      <c r="B465" s="244">
        <v>3.31</v>
      </c>
    </row>
    <row r="466" spans="1:2" x14ac:dyDescent="0.25">
      <c r="A466" s="198">
        <v>42290</v>
      </c>
      <c r="B466" s="244">
        <v>3.3025000000000002</v>
      </c>
    </row>
    <row r="467" spans="1:2" x14ac:dyDescent="0.25">
      <c r="A467" s="198">
        <v>42291</v>
      </c>
      <c r="B467" s="244">
        <v>3.3050000000000002</v>
      </c>
    </row>
    <row r="468" spans="1:2" x14ac:dyDescent="0.25">
      <c r="A468" s="198">
        <v>42292</v>
      </c>
      <c r="B468" s="244">
        <v>3.3</v>
      </c>
    </row>
    <row r="469" spans="1:2" x14ac:dyDescent="0.25">
      <c r="A469" s="198">
        <v>42293</v>
      </c>
      <c r="B469" s="244">
        <v>3.3</v>
      </c>
    </row>
    <row r="470" spans="1:2" x14ac:dyDescent="0.25">
      <c r="A470" s="198">
        <v>42296</v>
      </c>
      <c r="B470" s="244">
        <v>3.3079999999999998</v>
      </c>
    </row>
    <row r="471" spans="1:2" x14ac:dyDescent="0.25">
      <c r="A471" s="198">
        <v>42297</v>
      </c>
      <c r="B471" s="244">
        <v>3.31</v>
      </c>
    </row>
    <row r="472" spans="1:2" x14ac:dyDescent="0.25">
      <c r="A472" s="198">
        <v>42298</v>
      </c>
      <c r="B472" s="244">
        <v>3.3</v>
      </c>
    </row>
    <row r="473" spans="1:2" x14ac:dyDescent="0.25">
      <c r="A473" s="198">
        <v>42299</v>
      </c>
      <c r="B473" s="244">
        <v>3.3</v>
      </c>
    </row>
    <row r="474" spans="1:2" x14ac:dyDescent="0.25">
      <c r="A474" s="198">
        <v>42300</v>
      </c>
      <c r="B474" s="244">
        <v>3.2925</v>
      </c>
    </row>
    <row r="475" spans="1:2" x14ac:dyDescent="0.25">
      <c r="A475" s="198">
        <v>42303</v>
      </c>
      <c r="B475" s="244">
        <v>3.29</v>
      </c>
    </row>
    <row r="476" spans="1:2" x14ac:dyDescent="0.25">
      <c r="A476" s="198">
        <v>42304</v>
      </c>
      <c r="B476" s="244">
        <v>3.29</v>
      </c>
    </row>
    <row r="477" spans="1:2" x14ac:dyDescent="0.25">
      <c r="A477" s="198">
        <v>42305</v>
      </c>
      <c r="B477" s="244">
        <v>3.3037000000000001</v>
      </c>
    </row>
    <row r="478" spans="1:2" x14ac:dyDescent="0.25">
      <c r="A478" s="198">
        <v>42306</v>
      </c>
      <c r="B478" s="244">
        <v>3.3</v>
      </c>
    </row>
    <row r="479" spans="1:2" x14ac:dyDescent="0.25">
      <c r="A479" s="198">
        <v>42307</v>
      </c>
      <c r="B479" s="244">
        <v>3.3</v>
      </c>
    </row>
    <row r="480" spans="1:2" x14ac:dyDescent="0.25">
      <c r="A480" s="198">
        <v>42311</v>
      </c>
      <c r="B480" s="244">
        <v>3.3025000000000002</v>
      </c>
    </row>
    <row r="481" spans="1:2" x14ac:dyDescent="0.25">
      <c r="A481" s="198">
        <v>42312</v>
      </c>
      <c r="B481" s="244">
        <v>3.3</v>
      </c>
    </row>
    <row r="482" spans="1:2" x14ac:dyDescent="0.25">
      <c r="A482" s="198">
        <v>42313</v>
      </c>
      <c r="B482" s="244">
        <v>3.3005</v>
      </c>
    </row>
    <row r="483" spans="1:2" x14ac:dyDescent="0.25">
      <c r="A483" s="198">
        <v>42314</v>
      </c>
      <c r="B483" s="244">
        <v>3.3025000000000002</v>
      </c>
    </row>
    <row r="484" spans="1:2" x14ac:dyDescent="0.25">
      <c r="A484" s="198">
        <v>42317</v>
      </c>
      <c r="B484" s="244">
        <v>3.3025000000000002</v>
      </c>
    </row>
    <row r="485" spans="1:2" x14ac:dyDescent="0.25">
      <c r="A485" s="198">
        <v>42318</v>
      </c>
      <c r="B485" s="244">
        <v>3.3098999999999998</v>
      </c>
    </row>
    <row r="486" spans="1:2" x14ac:dyDescent="0.25">
      <c r="A486" s="198">
        <v>42319</v>
      </c>
      <c r="B486" s="244">
        <v>3.3149999999999999</v>
      </c>
    </row>
    <row r="487" spans="1:2" x14ac:dyDescent="0.25">
      <c r="A487" s="198">
        <v>42320</v>
      </c>
      <c r="B487" s="244">
        <v>3.31</v>
      </c>
    </row>
    <row r="488" spans="1:2" x14ac:dyDescent="0.25">
      <c r="A488" s="198">
        <v>42321</v>
      </c>
      <c r="B488" s="244">
        <v>3.32</v>
      </c>
    </row>
    <row r="489" spans="1:2" x14ac:dyDescent="0.25">
      <c r="A489" s="198">
        <v>42325</v>
      </c>
      <c r="B489" s="244">
        <v>3.3260000000000001</v>
      </c>
    </row>
    <row r="490" spans="1:2" x14ac:dyDescent="0.25">
      <c r="A490" s="198">
        <v>42326</v>
      </c>
      <c r="B490" s="244">
        <v>3.3224999999999998</v>
      </c>
    </row>
    <row r="491" spans="1:2" x14ac:dyDescent="0.25">
      <c r="A491" s="198">
        <v>42327</v>
      </c>
      <c r="B491" s="244">
        <v>3.3317999999999999</v>
      </c>
    </row>
    <row r="492" spans="1:2" x14ac:dyDescent="0.25">
      <c r="A492" s="198">
        <v>42328</v>
      </c>
      <c r="B492" s="244">
        <v>3.3224999999999998</v>
      </c>
    </row>
    <row r="493" spans="1:2" x14ac:dyDescent="0.25">
      <c r="A493" s="198">
        <v>42331</v>
      </c>
      <c r="B493" s="244">
        <v>3.3325</v>
      </c>
    </row>
    <row r="494" spans="1:2" x14ac:dyDescent="0.25">
      <c r="A494" s="198">
        <v>42332</v>
      </c>
      <c r="B494" s="244">
        <v>3.3260000000000001</v>
      </c>
    </row>
    <row r="495" spans="1:2" x14ac:dyDescent="0.25">
      <c r="A495" s="198">
        <v>42333</v>
      </c>
      <c r="B495" s="244">
        <v>3.33</v>
      </c>
    </row>
    <row r="496" spans="1:2" x14ac:dyDescent="0.25">
      <c r="A496" s="198">
        <v>42334</v>
      </c>
      <c r="B496" s="244">
        <v>3.323</v>
      </c>
    </row>
    <row r="497" spans="1:2" x14ac:dyDescent="0.25">
      <c r="A497" s="198">
        <v>42335</v>
      </c>
      <c r="B497" s="244">
        <v>3.3149999999999999</v>
      </c>
    </row>
    <row r="498" spans="1:2" x14ac:dyDescent="0.25">
      <c r="A498" s="198">
        <v>42338</v>
      </c>
      <c r="B498" s="244">
        <v>3.3174999999999999</v>
      </c>
    </row>
    <row r="499" spans="1:2" x14ac:dyDescent="0.25">
      <c r="A499" s="198">
        <v>42339</v>
      </c>
      <c r="B499" s="244">
        <v>3.3115999999999999</v>
      </c>
    </row>
    <row r="500" spans="1:2" x14ac:dyDescent="0.25">
      <c r="A500" s="198">
        <v>42340</v>
      </c>
      <c r="B500" s="244">
        <v>3.3250000000000002</v>
      </c>
    </row>
    <row r="501" spans="1:2" x14ac:dyDescent="0.25">
      <c r="A501" s="198">
        <v>42341</v>
      </c>
      <c r="B501" s="244">
        <v>3.3357999999999999</v>
      </c>
    </row>
    <row r="502" spans="1:2" x14ac:dyDescent="0.25">
      <c r="A502" s="198">
        <v>42342</v>
      </c>
      <c r="B502" s="244">
        <v>3.34</v>
      </c>
    </row>
    <row r="503" spans="1:2" x14ac:dyDescent="0.25">
      <c r="A503" s="198">
        <v>42345</v>
      </c>
      <c r="B503" s="244">
        <v>3.33</v>
      </c>
    </row>
    <row r="504" spans="1:2" x14ac:dyDescent="0.25">
      <c r="A504" s="198">
        <v>42346</v>
      </c>
      <c r="B504" s="244">
        <v>3.34</v>
      </c>
    </row>
    <row r="505" spans="1:2" x14ac:dyDescent="0.25">
      <c r="A505" s="198">
        <v>42347</v>
      </c>
      <c r="B505" s="244">
        <v>3.35</v>
      </c>
    </row>
    <row r="506" spans="1:2" x14ac:dyDescent="0.25">
      <c r="A506" s="198">
        <v>42348</v>
      </c>
      <c r="B506" s="244">
        <v>3.36</v>
      </c>
    </row>
    <row r="507" spans="1:2" x14ac:dyDescent="0.25">
      <c r="A507" s="198">
        <v>42349</v>
      </c>
      <c r="B507" s="244">
        <v>3.3525</v>
      </c>
    </row>
    <row r="508" spans="1:2" x14ac:dyDescent="0.25">
      <c r="A508" s="198">
        <v>42352</v>
      </c>
      <c r="B508" s="244">
        <v>3.3555000000000001</v>
      </c>
    </row>
    <row r="509" spans="1:2" x14ac:dyDescent="0.25">
      <c r="A509" s="198">
        <v>42353</v>
      </c>
      <c r="B509" s="244">
        <v>3.34</v>
      </c>
    </row>
    <row r="510" spans="1:2" x14ac:dyDescent="0.25">
      <c r="A510" s="198">
        <v>42354</v>
      </c>
      <c r="B510" s="244">
        <v>3.3620999999999999</v>
      </c>
    </row>
    <row r="511" spans="1:2" x14ac:dyDescent="0.25">
      <c r="A511" s="198">
        <v>42355</v>
      </c>
      <c r="B511" s="244">
        <v>3.3824999999999998</v>
      </c>
    </row>
    <row r="512" spans="1:2" x14ac:dyDescent="0.25">
      <c r="A512" s="198">
        <v>42356</v>
      </c>
      <c r="B512" s="244">
        <v>3.4249999999999998</v>
      </c>
    </row>
    <row r="513" spans="1:2" x14ac:dyDescent="0.25">
      <c r="A513" s="198">
        <v>42359</v>
      </c>
      <c r="B513" s="244">
        <v>3.4714999999999998</v>
      </c>
    </row>
    <row r="514" spans="1:2" x14ac:dyDescent="0.25">
      <c r="A514" s="198">
        <v>42360</v>
      </c>
      <c r="B514" s="244">
        <v>3.5042</v>
      </c>
    </row>
    <row r="515" spans="1:2" x14ac:dyDescent="0.25">
      <c r="A515" s="198">
        <v>42361</v>
      </c>
      <c r="B515" s="244">
        <v>3.53</v>
      </c>
    </row>
    <row r="516" spans="1:2" x14ac:dyDescent="0.25">
      <c r="A516" s="198">
        <v>42362</v>
      </c>
      <c r="B516" s="244">
        <v>3.5316000000000001</v>
      </c>
    </row>
    <row r="517" spans="1:2" x14ac:dyDescent="0.25">
      <c r="A517" s="198">
        <v>42366</v>
      </c>
      <c r="B517" s="244">
        <v>3.5350000000000001</v>
      </c>
    </row>
    <row r="518" spans="1:2" x14ac:dyDescent="0.25">
      <c r="A518" s="198">
        <v>42367</v>
      </c>
      <c r="B518" s="244">
        <v>3.5505</v>
      </c>
    </row>
    <row r="519" spans="1:2" x14ac:dyDescent="0.25">
      <c r="A519" s="198">
        <v>42368</v>
      </c>
      <c r="B519" s="244">
        <v>3.5525000000000002</v>
      </c>
    </row>
    <row r="520" spans="1:2" x14ac:dyDescent="0.25">
      <c r="A520" s="198">
        <v>42369</v>
      </c>
      <c r="B520" s="244">
        <v>3.5474999999999999</v>
      </c>
    </row>
    <row r="521" spans="1:2" x14ac:dyDescent="0.25">
      <c r="A521" s="198">
        <v>42373</v>
      </c>
      <c r="B521" s="244">
        <v>3.5550000000000002</v>
      </c>
    </row>
    <row r="522" spans="1:2" x14ac:dyDescent="0.25">
      <c r="A522" s="198">
        <v>42374</v>
      </c>
      <c r="B522" s="244">
        <v>3.5575000000000001</v>
      </c>
    </row>
    <row r="523" spans="1:2" x14ac:dyDescent="0.25">
      <c r="A523" s="198">
        <v>42375</v>
      </c>
      <c r="B523" s="244">
        <v>3.5539999999999998</v>
      </c>
    </row>
    <row r="524" spans="1:2" x14ac:dyDescent="0.25">
      <c r="A524" s="198">
        <v>42376</v>
      </c>
      <c r="B524" s="244">
        <v>3.56</v>
      </c>
    </row>
    <row r="525" spans="1:2" x14ac:dyDescent="0.25">
      <c r="A525" s="198">
        <v>42377</v>
      </c>
      <c r="B525" s="244">
        <v>3.56</v>
      </c>
    </row>
    <row r="526" spans="1:2" x14ac:dyDescent="0.25">
      <c r="A526" s="198">
        <v>42380</v>
      </c>
      <c r="B526" s="244">
        <v>3.5545</v>
      </c>
    </row>
    <row r="527" spans="1:2" x14ac:dyDescent="0.25">
      <c r="A527" s="198">
        <v>42381</v>
      </c>
      <c r="B527" s="244">
        <v>3.5539000000000001</v>
      </c>
    </row>
    <row r="528" spans="1:2" x14ac:dyDescent="0.25">
      <c r="A528" s="198">
        <v>42382</v>
      </c>
      <c r="B528" s="244">
        <v>3.5505</v>
      </c>
    </row>
    <row r="529" spans="1:2" x14ac:dyDescent="0.25">
      <c r="A529" s="198">
        <v>42383</v>
      </c>
      <c r="B529" s="244">
        <v>3.5579000000000001</v>
      </c>
    </row>
    <row r="530" spans="1:2" x14ac:dyDescent="0.25">
      <c r="A530" s="198">
        <v>42384</v>
      </c>
      <c r="B530" s="244">
        <v>3.5543</v>
      </c>
    </row>
    <row r="531" spans="1:2" x14ac:dyDescent="0.25">
      <c r="A531" s="198">
        <v>42387</v>
      </c>
      <c r="B531" s="244">
        <v>3.5547</v>
      </c>
    </row>
    <row r="532" spans="1:2" x14ac:dyDescent="0.25">
      <c r="A532" s="198">
        <v>42388</v>
      </c>
      <c r="B532" s="244">
        <v>3.5598000000000001</v>
      </c>
    </row>
    <row r="533" spans="1:2" x14ac:dyDescent="0.25">
      <c r="A533" s="198">
        <v>42389</v>
      </c>
      <c r="B533" s="244">
        <v>3.5550999999999999</v>
      </c>
    </row>
    <row r="534" spans="1:2" x14ac:dyDescent="0.25">
      <c r="A534" s="198">
        <v>42390</v>
      </c>
      <c r="B534" s="244">
        <v>3.5539999999999998</v>
      </c>
    </row>
    <row r="535" spans="1:2" x14ac:dyDescent="0.25">
      <c r="A535" s="198">
        <v>42391</v>
      </c>
      <c r="B535" s="244">
        <v>3.56</v>
      </c>
    </row>
    <row r="536" spans="1:2" x14ac:dyDescent="0.25">
      <c r="A536" s="198">
        <v>42394</v>
      </c>
      <c r="B536" s="244">
        <v>3.5545</v>
      </c>
    </row>
    <row r="537" spans="1:2" x14ac:dyDescent="0.25">
      <c r="A537" s="198">
        <v>42395</v>
      </c>
      <c r="B537" s="244">
        <v>3.56</v>
      </c>
    </row>
    <row r="538" spans="1:2" x14ac:dyDescent="0.25">
      <c r="A538" s="198">
        <v>42396</v>
      </c>
      <c r="B538" s="244">
        <v>3.5609999999999999</v>
      </c>
    </row>
    <row r="539" spans="1:2" x14ac:dyDescent="0.25">
      <c r="A539" s="198">
        <v>42397</v>
      </c>
      <c r="B539" s="244">
        <v>3.56</v>
      </c>
    </row>
    <row r="540" spans="1:2" x14ac:dyDescent="0.25">
      <c r="A540" s="198">
        <v>42398</v>
      </c>
      <c r="B540" s="244">
        <v>3.5550999999999999</v>
      </c>
    </row>
    <row r="541" spans="1:2" x14ac:dyDescent="0.25">
      <c r="A541" s="198">
        <v>42402</v>
      </c>
      <c r="B541" s="244">
        <v>3.5569999999999999</v>
      </c>
    </row>
    <row r="542" spans="1:2" x14ac:dyDescent="0.25">
      <c r="A542" s="198">
        <v>42403</v>
      </c>
      <c r="B542" s="244">
        <v>3.5550000000000002</v>
      </c>
    </row>
    <row r="543" spans="1:2" x14ac:dyDescent="0.25">
      <c r="A543" s="198">
        <v>42404</v>
      </c>
      <c r="B543" s="244">
        <v>3.5588000000000002</v>
      </c>
    </row>
    <row r="544" spans="1:2" x14ac:dyDescent="0.25">
      <c r="A544" s="198">
        <v>42405</v>
      </c>
      <c r="B544" s="244">
        <v>3.56</v>
      </c>
    </row>
    <row r="545" spans="1:2" x14ac:dyDescent="0.25">
      <c r="A545" s="198">
        <v>42408</v>
      </c>
      <c r="B545" s="244">
        <v>3.5615999999999999</v>
      </c>
    </row>
    <row r="546" spans="1:2" x14ac:dyDescent="0.25">
      <c r="A546" s="198">
        <v>42409</v>
      </c>
      <c r="B546" s="244">
        <v>3.5579999999999998</v>
      </c>
    </row>
    <row r="547" spans="1:2" x14ac:dyDescent="0.25">
      <c r="A547" s="198">
        <v>42410</v>
      </c>
      <c r="B547" s="244">
        <v>3.5598000000000001</v>
      </c>
    </row>
    <row r="548" spans="1:2" x14ac:dyDescent="0.25">
      <c r="A548" s="198">
        <v>42411</v>
      </c>
      <c r="B548" s="244">
        <v>3.5541</v>
      </c>
    </row>
    <row r="549" spans="1:2" x14ac:dyDescent="0.25">
      <c r="A549" s="198">
        <v>42412</v>
      </c>
      <c r="B549" s="244">
        <v>3.5550000000000002</v>
      </c>
    </row>
    <row r="550" spans="1:2" x14ac:dyDescent="0.25">
      <c r="A550" s="198">
        <v>42415</v>
      </c>
      <c r="B550" s="244">
        <v>3.5476000000000001</v>
      </c>
    </row>
    <row r="551" spans="1:2" x14ac:dyDescent="0.25">
      <c r="A551" s="198">
        <v>42416</v>
      </c>
      <c r="B551" s="244">
        <v>3.5482999999999998</v>
      </c>
    </row>
    <row r="552" spans="1:2" x14ac:dyDescent="0.25">
      <c r="A552" s="198">
        <v>42417</v>
      </c>
      <c r="B552" s="244">
        <v>3.5543</v>
      </c>
    </row>
    <row r="553" spans="1:2" x14ac:dyDescent="0.25">
      <c r="A553" s="198">
        <v>42418</v>
      </c>
      <c r="B553" s="244">
        <v>4.0350000000000001</v>
      </c>
    </row>
    <row r="554" spans="1:2" x14ac:dyDescent="0.25">
      <c r="A554" s="198">
        <v>42419</v>
      </c>
      <c r="B554" s="244">
        <v>4.0303000000000004</v>
      </c>
    </row>
    <row r="555" spans="1:2" x14ac:dyDescent="0.25">
      <c r="A555" s="198">
        <v>42422</v>
      </c>
      <c r="B555" s="244">
        <v>4.0350000000000001</v>
      </c>
    </row>
    <row r="556" spans="1:2" x14ac:dyDescent="0.25">
      <c r="A556" s="198">
        <v>42423</v>
      </c>
      <c r="B556" s="244">
        <v>4.0316000000000001</v>
      </c>
    </row>
    <row r="557" spans="1:2" x14ac:dyDescent="0.25">
      <c r="A557" s="198">
        <v>42424</v>
      </c>
      <c r="B557" s="244">
        <v>4.0507</v>
      </c>
    </row>
    <row r="558" spans="1:2" x14ac:dyDescent="0.25">
      <c r="A558" s="198">
        <v>42425</v>
      </c>
      <c r="B558" s="244">
        <v>4.0547000000000004</v>
      </c>
    </row>
    <row r="559" spans="1:2" x14ac:dyDescent="0.25">
      <c r="A559" s="198">
        <v>42426</v>
      </c>
      <c r="B559" s="244">
        <v>4.0555000000000003</v>
      </c>
    </row>
    <row r="560" spans="1:2" x14ac:dyDescent="0.25">
      <c r="A560" s="198">
        <v>42429</v>
      </c>
      <c r="B560" s="244">
        <v>4.0500999999999996</v>
      </c>
    </row>
    <row r="561" spans="1:2" x14ac:dyDescent="0.25">
      <c r="A561" s="198">
        <v>42430</v>
      </c>
      <c r="B561" s="244">
        <v>4.0594000000000001</v>
      </c>
    </row>
    <row r="562" spans="1:2" x14ac:dyDescent="0.25">
      <c r="A562" s="198">
        <v>42431</v>
      </c>
      <c r="B562" s="244">
        <v>4.0576999999999996</v>
      </c>
    </row>
    <row r="563" spans="1:2" x14ac:dyDescent="0.25">
      <c r="A563" s="198">
        <v>42432</v>
      </c>
      <c r="B563" s="244">
        <v>4.0599999999999996</v>
      </c>
    </row>
    <row r="564" spans="1:2" x14ac:dyDescent="0.25">
      <c r="A564" s="198">
        <v>42433</v>
      </c>
      <c r="B564" s="244">
        <v>4.0601000000000003</v>
      </c>
    </row>
    <row r="565" spans="1:2" x14ac:dyDescent="0.25">
      <c r="A565" s="198">
        <v>42436</v>
      </c>
      <c r="B565" s="244">
        <v>4.0640000000000001</v>
      </c>
    </row>
    <row r="566" spans="1:2" x14ac:dyDescent="0.25">
      <c r="A566" s="198">
        <v>42437</v>
      </c>
      <c r="B566" s="244">
        <v>4.0625</v>
      </c>
    </row>
    <row r="567" spans="1:2" x14ac:dyDescent="0.25">
      <c r="A567" s="198">
        <v>42438</v>
      </c>
      <c r="B567" s="244">
        <v>4.0606</v>
      </c>
    </row>
    <row r="568" spans="1:2" x14ac:dyDescent="0.25">
      <c r="A568" s="198">
        <v>42439</v>
      </c>
      <c r="B568" s="244">
        <v>4.0601000000000003</v>
      </c>
    </row>
    <row r="569" spans="1:2" x14ac:dyDescent="0.25">
      <c r="A569" s="198">
        <v>42440</v>
      </c>
      <c r="B569" s="244">
        <v>4.0606</v>
      </c>
    </row>
    <row r="570" spans="1:2" x14ac:dyDescent="0.25">
      <c r="A570" s="198">
        <v>42443</v>
      </c>
      <c r="B570" s="244">
        <v>4.0613000000000001</v>
      </c>
    </row>
    <row r="571" spans="1:2" x14ac:dyDescent="0.25">
      <c r="A571" s="198">
        <v>42444</v>
      </c>
      <c r="B571" s="244">
        <v>4.0625</v>
      </c>
    </row>
    <row r="572" spans="1:2" x14ac:dyDescent="0.25">
      <c r="A572" s="198">
        <v>42445</v>
      </c>
      <c r="B572" s="244">
        <v>4.0644999999999998</v>
      </c>
    </row>
    <row r="573" spans="1:2" x14ac:dyDescent="0.25">
      <c r="A573" s="198">
        <v>42446</v>
      </c>
      <c r="B573" s="244">
        <v>4.0647000000000002</v>
      </c>
    </row>
    <row r="574" spans="1:2" x14ac:dyDescent="0.25">
      <c r="A574" s="198">
        <v>42447</v>
      </c>
      <c r="B574" s="244">
        <v>4.0648</v>
      </c>
    </row>
    <row r="575" spans="1:2" x14ac:dyDescent="0.25">
      <c r="A575" s="198">
        <v>42451</v>
      </c>
      <c r="B575" s="244">
        <v>4.0659999999999998</v>
      </c>
    </row>
    <row r="576" spans="1:2" x14ac:dyDescent="0.25">
      <c r="A576" s="198">
        <v>42452</v>
      </c>
      <c r="B576" s="244">
        <v>4.0650000000000004</v>
      </c>
    </row>
    <row r="577" spans="1:2" x14ac:dyDescent="0.25">
      <c r="A577" s="198">
        <v>42457</v>
      </c>
      <c r="B577" s="244">
        <v>4.0674000000000001</v>
      </c>
    </row>
    <row r="578" spans="1:2" x14ac:dyDescent="0.25">
      <c r="A578" s="198">
        <v>42458</v>
      </c>
      <c r="B578" s="244">
        <v>4.0650000000000004</v>
      </c>
    </row>
    <row r="579" spans="1:2" x14ac:dyDescent="0.25">
      <c r="A579" s="198">
        <v>42459</v>
      </c>
      <c r="B579" s="244">
        <v>4.0625</v>
      </c>
    </row>
    <row r="580" spans="1:2" x14ac:dyDescent="0.25">
      <c r="A580" s="198">
        <v>42460</v>
      </c>
      <c r="B580" s="244">
        <v>4.0650000000000004</v>
      </c>
    </row>
    <row r="581" spans="1:2" x14ac:dyDescent="0.25">
      <c r="A581" s="198">
        <v>42461</v>
      </c>
      <c r="B581" s="244">
        <v>4.0650000000000004</v>
      </c>
    </row>
    <row r="582" spans="1:2" x14ac:dyDescent="0.25">
      <c r="A582" s="198">
        <v>42464</v>
      </c>
      <c r="B582" s="244">
        <v>4.0625</v>
      </c>
    </row>
    <row r="583" spans="1:2" x14ac:dyDescent="0.25">
      <c r="A583" s="198">
        <v>42465</v>
      </c>
      <c r="B583" s="244">
        <v>4.0650000000000004</v>
      </c>
    </row>
    <row r="584" spans="1:2" x14ac:dyDescent="0.25">
      <c r="A584" s="198">
        <v>42466</v>
      </c>
      <c r="B584" s="244">
        <v>4.0652999999999997</v>
      </c>
    </row>
    <row r="585" spans="1:2" x14ac:dyDescent="0.25">
      <c r="A585" s="198">
        <v>42467</v>
      </c>
      <c r="B585" s="244">
        <v>4.0660999999999996</v>
      </c>
    </row>
    <row r="586" spans="1:2" x14ac:dyDescent="0.25">
      <c r="A586" s="198">
        <v>42468</v>
      </c>
      <c r="B586" s="244">
        <v>4.0650000000000004</v>
      </c>
    </row>
    <row r="587" spans="1:2" x14ac:dyDescent="0.25">
      <c r="A587" s="198">
        <v>42471</v>
      </c>
      <c r="B587" s="244">
        <v>4.0624000000000002</v>
      </c>
    </row>
    <row r="588" spans="1:2" x14ac:dyDescent="0.25">
      <c r="A588" s="198">
        <v>42472</v>
      </c>
      <c r="B588" s="244">
        <v>4.0625</v>
      </c>
    </row>
    <row r="589" spans="1:2" x14ac:dyDescent="0.25">
      <c r="A589" s="198">
        <v>42473</v>
      </c>
      <c r="B589" s="244">
        <v>4.0625</v>
      </c>
    </row>
    <row r="590" spans="1:2" x14ac:dyDescent="0.25">
      <c r="A590" s="198">
        <v>42474</v>
      </c>
      <c r="B590" s="244">
        <v>4.0617999999999999</v>
      </c>
    </row>
    <row r="591" spans="1:2" x14ac:dyDescent="0.25">
      <c r="A591" s="198">
        <v>42475</v>
      </c>
      <c r="B591" s="244">
        <v>4.0650000000000004</v>
      </c>
    </row>
    <row r="592" spans="1:2" x14ac:dyDescent="0.25">
      <c r="A592" s="198">
        <v>42478</v>
      </c>
      <c r="B592" s="244">
        <v>4.0650000000000004</v>
      </c>
    </row>
    <row r="593" spans="1:2" x14ac:dyDescent="0.25">
      <c r="A593" s="198">
        <v>42479</v>
      </c>
      <c r="B593" s="244">
        <v>4.0651999999999999</v>
      </c>
    </row>
    <row r="594" spans="1:2" x14ac:dyDescent="0.25">
      <c r="A594" s="198">
        <v>42480</v>
      </c>
      <c r="B594" s="244">
        <v>4.0625999999999998</v>
      </c>
    </row>
    <row r="595" spans="1:2" x14ac:dyDescent="0.25">
      <c r="A595" s="198">
        <v>42481</v>
      </c>
      <c r="B595" s="244">
        <v>4.0650000000000004</v>
      </c>
    </row>
    <row r="596" spans="1:2" x14ac:dyDescent="0.25">
      <c r="A596" s="198">
        <v>42482</v>
      </c>
      <c r="B596" s="244">
        <v>4.0650000000000004</v>
      </c>
    </row>
    <row r="597" spans="1:2" x14ac:dyDescent="0.25">
      <c r="A597" s="198">
        <v>42485</v>
      </c>
      <c r="B597" s="244">
        <v>4.0625</v>
      </c>
    </row>
    <row r="598" spans="1:2" x14ac:dyDescent="0.25">
      <c r="A598" s="198">
        <v>42486</v>
      </c>
      <c r="B598" s="244">
        <v>4.0650000000000004</v>
      </c>
    </row>
    <row r="599" spans="1:2" x14ac:dyDescent="0.25">
      <c r="A599" s="198">
        <v>42487</v>
      </c>
      <c r="B599" s="244">
        <v>4.0655000000000001</v>
      </c>
    </row>
    <row r="600" spans="1:2" x14ac:dyDescent="0.25">
      <c r="A600" s="198">
        <v>42488</v>
      </c>
      <c r="B600" s="244">
        <v>4.0650000000000004</v>
      </c>
    </row>
    <row r="601" spans="1:2" x14ac:dyDescent="0.25">
      <c r="A601" s="198">
        <v>42489</v>
      </c>
      <c r="B601" s="244">
        <v>4.0650000000000004</v>
      </c>
    </row>
    <row r="602" spans="1:2" x14ac:dyDescent="0.25">
      <c r="A602" s="198">
        <v>42492</v>
      </c>
      <c r="B602" s="244">
        <v>4.0655000000000001</v>
      </c>
    </row>
    <row r="603" spans="1:2" x14ac:dyDescent="0.25">
      <c r="A603" s="198">
        <v>42493</v>
      </c>
      <c r="B603" s="244">
        <v>4.0650000000000004</v>
      </c>
    </row>
    <row r="604" spans="1:2" x14ac:dyDescent="0.25">
      <c r="A604" s="198">
        <v>42494</v>
      </c>
      <c r="B604" s="244">
        <v>4.0625</v>
      </c>
    </row>
    <row r="605" spans="1:2" x14ac:dyDescent="0.25">
      <c r="A605" s="198">
        <v>42495</v>
      </c>
      <c r="B605" s="244">
        <v>4.0632999999999999</v>
      </c>
    </row>
    <row r="606" spans="1:2" x14ac:dyDescent="0.25">
      <c r="A606" s="198">
        <v>42496</v>
      </c>
      <c r="B606" s="244">
        <v>4.0637999999999996</v>
      </c>
    </row>
    <row r="607" spans="1:2" x14ac:dyDescent="0.25">
      <c r="A607" s="198">
        <v>42499</v>
      </c>
      <c r="B607" s="244">
        <v>4.0650000000000004</v>
      </c>
    </row>
    <row r="608" spans="1:2" x14ac:dyDescent="0.25">
      <c r="A608" s="198">
        <v>42500</v>
      </c>
      <c r="B608" s="244">
        <v>4.0610999999999997</v>
      </c>
    </row>
    <row r="609" spans="1:2" x14ac:dyDescent="0.25">
      <c r="A609" s="198">
        <v>42501</v>
      </c>
      <c r="B609" s="244">
        <v>4.0598999999999998</v>
      </c>
    </row>
    <row r="610" spans="1:2" x14ac:dyDescent="0.25">
      <c r="A610" s="198">
        <v>42502</v>
      </c>
      <c r="B610" s="244">
        <v>4.0602999999999998</v>
      </c>
    </row>
    <row r="611" spans="1:2" x14ac:dyDescent="0.25">
      <c r="A611" s="198">
        <v>42503</v>
      </c>
      <c r="B611" s="244">
        <v>4.0606999999999998</v>
      </c>
    </row>
    <row r="612" spans="1:2" x14ac:dyDescent="0.25">
      <c r="A612" s="198">
        <v>42506</v>
      </c>
      <c r="B612" s="244">
        <v>4.0650000000000004</v>
      </c>
    </row>
    <row r="613" spans="1:2" x14ac:dyDescent="0.25">
      <c r="A613" s="198">
        <v>42507</v>
      </c>
      <c r="B613" s="244">
        <v>4.0659999999999998</v>
      </c>
    </row>
    <row r="614" spans="1:2" x14ac:dyDescent="0.25">
      <c r="A614" s="198">
        <v>42508</v>
      </c>
      <c r="B614" s="244">
        <v>4.0650000000000004</v>
      </c>
    </row>
    <row r="615" spans="1:2" x14ac:dyDescent="0.25">
      <c r="A615" s="198">
        <v>42509</v>
      </c>
      <c r="B615" s="244">
        <v>4.0650000000000004</v>
      </c>
    </row>
    <row r="616" spans="1:2" x14ac:dyDescent="0.25">
      <c r="A616" s="198">
        <v>42510</v>
      </c>
      <c r="B616" s="244">
        <v>4.0811999999999999</v>
      </c>
    </row>
    <row r="617" spans="1:2" x14ac:dyDescent="0.25">
      <c r="A617" s="198">
        <v>42513</v>
      </c>
      <c r="B617" s="244">
        <v>4.0774999999999997</v>
      </c>
    </row>
    <row r="618" spans="1:2" x14ac:dyDescent="0.25">
      <c r="A618" s="198">
        <v>42514</v>
      </c>
      <c r="B618" s="244">
        <v>4.0936000000000003</v>
      </c>
    </row>
    <row r="619" spans="1:2" x14ac:dyDescent="0.25">
      <c r="A619" s="198">
        <v>42515</v>
      </c>
      <c r="B619" s="244">
        <v>4.1081000000000003</v>
      </c>
    </row>
    <row r="620" spans="1:2" x14ac:dyDescent="0.25">
      <c r="A620" s="198">
        <v>42516</v>
      </c>
      <c r="B620" s="244">
        <v>4.1124999999999998</v>
      </c>
    </row>
    <row r="621" spans="1:2" x14ac:dyDescent="0.25">
      <c r="A621" s="198">
        <v>42517</v>
      </c>
      <c r="B621" s="244">
        <v>4.0949999999999998</v>
      </c>
    </row>
    <row r="622" spans="1:2" x14ac:dyDescent="0.25">
      <c r="A622" s="198">
        <v>42520</v>
      </c>
      <c r="B622" s="244">
        <v>4.0975000000000001</v>
      </c>
    </row>
    <row r="623" spans="1:2" x14ac:dyDescent="0.25">
      <c r="A623" s="198">
        <v>42521</v>
      </c>
      <c r="B623" s="244">
        <v>4.0970000000000004</v>
      </c>
    </row>
    <row r="624" spans="1:2" x14ac:dyDescent="0.25">
      <c r="A624" s="198">
        <v>42522</v>
      </c>
      <c r="B624" s="244">
        <v>4.0999999999999996</v>
      </c>
    </row>
    <row r="625" spans="1:2" x14ac:dyDescent="0.25">
      <c r="A625" s="198">
        <v>42523</v>
      </c>
      <c r="B625" s="244">
        <v>4.0957999999999997</v>
      </c>
    </row>
    <row r="626" spans="1:2" x14ac:dyDescent="0.25">
      <c r="A626" s="198">
        <v>42524</v>
      </c>
      <c r="B626" s="244">
        <v>4.0964999999999998</v>
      </c>
    </row>
    <row r="627" spans="1:2" x14ac:dyDescent="0.25">
      <c r="A627" s="198">
        <v>42527</v>
      </c>
      <c r="B627" s="244">
        <v>4.0926</v>
      </c>
    </row>
    <row r="628" spans="1:2" x14ac:dyDescent="0.25">
      <c r="A628" s="198">
        <v>42528</v>
      </c>
      <c r="B628" s="244">
        <v>4.0914999999999999</v>
      </c>
    </row>
    <row r="629" spans="1:2" x14ac:dyDescent="0.25">
      <c r="A629" s="198">
        <v>42529</v>
      </c>
      <c r="B629" s="244">
        <v>4.0885999999999996</v>
      </c>
    </row>
    <row r="630" spans="1:2" x14ac:dyDescent="0.25">
      <c r="A630" s="198">
        <v>42530</v>
      </c>
      <c r="B630" s="244">
        <v>4.0925000000000002</v>
      </c>
    </row>
    <row r="631" spans="1:2" x14ac:dyDescent="0.25">
      <c r="A631" s="198">
        <v>42531</v>
      </c>
      <c r="B631" s="244">
        <v>4.0869</v>
      </c>
    </row>
    <row r="632" spans="1:2" x14ac:dyDescent="0.25">
      <c r="A632" s="198">
        <v>42534</v>
      </c>
      <c r="B632" s="244">
        <v>4.0949999999999998</v>
      </c>
    </row>
    <row r="633" spans="1:2" x14ac:dyDescent="0.25">
      <c r="A633" s="198">
        <v>42535</v>
      </c>
      <c r="B633" s="244">
        <v>4.0986000000000002</v>
      </c>
    </row>
    <row r="634" spans="1:2" x14ac:dyDescent="0.25">
      <c r="A634" s="198">
        <v>42536</v>
      </c>
      <c r="B634" s="244">
        <v>4.1100000000000003</v>
      </c>
    </row>
    <row r="635" spans="1:2" x14ac:dyDescent="0.25">
      <c r="A635" s="198">
        <v>42537</v>
      </c>
      <c r="B635" s="244">
        <v>4.1036999999999999</v>
      </c>
    </row>
    <row r="636" spans="1:2" x14ac:dyDescent="0.25">
      <c r="A636" s="198">
        <v>42538</v>
      </c>
      <c r="B636" s="244">
        <v>4.1045999999999996</v>
      </c>
    </row>
    <row r="637" spans="1:2" x14ac:dyDescent="0.25">
      <c r="A637" s="198">
        <v>42541</v>
      </c>
      <c r="B637" s="244">
        <v>4.1050000000000004</v>
      </c>
    </row>
    <row r="638" spans="1:2" x14ac:dyDescent="0.25">
      <c r="A638" s="198">
        <v>42542</v>
      </c>
      <c r="B638" s="244">
        <v>4.1090999999999998</v>
      </c>
    </row>
    <row r="639" spans="1:2" x14ac:dyDescent="0.25">
      <c r="A639" s="198">
        <v>42543</v>
      </c>
      <c r="B639" s="244">
        <v>4.1100000000000003</v>
      </c>
    </row>
    <row r="640" spans="1:2" x14ac:dyDescent="0.25">
      <c r="A640" s="198">
        <v>42544</v>
      </c>
      <c r="B640" s="244">
        <v>4.0994999999999999</v>
      </c>
    </row>
    <row r="641" spans="1:2" x14ac:dyDescent="0.25">
      <c r="A641" s="198">
        <v>42545</v>
      </c>
      <c r="B641" s="244">
        <v>4.0994999999999999</v>
      </c>
    </row>
    <row r="642" spans="1:2" x14ac:dyDescent="0.25">
      <c r="A642" s="198">
        <v>42548</v>
      </c>
      <c r="B642" s="244">
        <v>4.1041999999999996</v>
      </c>
    </row>
    <row r="643" spans="1:2" x14ac:dyDescent="0.25">
      <c r="A643" s="198">
        <v>42549</v>
      </c>
      <c r="B643" s="244">
        <v>4.1185</v>
      </c>
    </row>
    <row r="644" spans="1:2" x14ac:dyDescent="0.25">
      <c r="A644" s="198">
        <v>42550</v>
      </c>
      <c r="B644" s="244">
        <v>4.1131000000000002</v>
      </c>
    </row>
    <row r="645" spans="1:2" x14ac:dyDescent="0.25">
      <c r="A645" s="198">
        <v>42551</v>
      </c>
      <c r="B645" s="244">
        <v>4.1116000000000001</v>
      </c>
    </row>
    <row r="646" spans="1:2" x14ac:dyDescent="0.25">
      <c r="A646" s="198">
        <v>42552</v>
      </c>
      <c r="B646" s="244">
        <v>4.1138000000000003</v>
      </c>
    </row>
    <row r="647" spans="1:2" x14ac:dyDescent="0.25">
      <c r="A647" s="198">
        <v>42555</v>
      </c>
      <c r="B647" s="244">
        <v>4.5599999999999996</v>
      </c>
    </row>
    <row r="648" spans="1:2" x14ac:dyDescent="0.25">
      <c r="A648" s="198">
        <v>42556</v>
      </c>
      <c r="B648" s="244">
        <v>4.5605000000000002</v>
      </c>
    </row>
    <row r="649" spans="1:2" x14ac:dyDescent="0.25">
      <c r="A649" s="198">
        <v>42557</v>
      </c>
      <c r="B649" s="244">
        <v>4.5715000000000003</v>
      </c>
    </row>
    <row r="650" spans="1:2" x14ac:dyDescent="0.25">
      <c r="A650" s="198">
        <v>42558</v>
      </c>
      <c r="B650" s="244">
        <v>4.5774999999999997</v>
      </c>
    </row>
    <row r="651" spans="1:2" x14ac:dyDescent="0.25">
      <c r="A651" s="198">
        <v>42559</v>
      </c>
      <c r="B651" s="244">
        <v>4.5820999999999996</v>
      </c>
    </row>
    <row r="652" spans="1:2" x14ac:dyDescent="0.25">
      <c r="A652" s="198">
        <v>42562</v>
      </c>
      <c r="B652" s="244">
        <v>4.5759999999999996</v>
      </c>
    </row>
    <row r="653" spans="1:2" x14ac:dyDescent="0.25">
      <c r="A653" s="198">
        <v>42563</v>
      </c>
      <c r="B653" s="244">
        <v>4.5758000000000001</v>
      </c>
    </row>
    <row r="654" spans="1:2" x14ac:dyDescent="0.25">
      <c r="A654" s="198">
        <v>42564</v>
      </c>
      <c r="B654" s="244">
        <v>4.5805999999999996</v>
      </c>
    </row>
    <row r="655" spans="1:2" x14ac:dyDescent="0.25">
      <c r="A655" s="198">
        <v>42565</v>
      </c>
      <c r="B655" s="244">
        <v>4.585</v>
      </c>
    </row>
    <row r="656" spans="1:2" x14ac:dyDescent="0.25">
      <c r="A656" s="198">
        <v>42566</v>
      </c>
      <c r="B656" s="244">
        <v>4.5890000000000004</v>
      </c>
    </row>
    <row r="657" spans="1:2" x14ac:dyDescent="0.25">
      <c r="A657" s="198">
        <v>42569</v>
      </c>
      <c r="B657" s="244">
        <v>4.59</v>
      </c>
    </row>
    <row r="658" spans="1:2" x14ac:dyDescent="0.25">
      <c r="A658" s="198">
        <v>42570</v>
      </c>
      <c r="B658" s="244">
        <v>4.59</v>
      </c>
    </row>
    <row r="659" spans="1:2" x14ac:dyDescent="0.25">
      <c r="A659" s="198">
        <v>42571</v>
      </c>
      <c r="B659" s="244">
        <v>4.5875000000000004</v>
      </c>
    </row>
    <row r="660" spans="1:2" x14ac:dyDescent="0.25">
      <c r="A660" s="198">
        <v>42572</v>
      </c>
      <c r="B660" s="244">
        <v>4.5907999999999998</v>
      </c>
    </row>
    <row r="661" spans="1:2" x14ac:dyDescent="0.25">
      <c r="A661" s="198">
        <v>42573</v>
      </c>
      <c r="B661" s="244">
        <v>4.5853999999999999</v>
      </c>
    </row>
    <row r="662" spans="1:2" x14ac:dyDescent="0.25">
      <c r="A662" s="198">
        <v>42576</v>
      </c>
      <c r="B662" s="244">
        <v>4.5849000000000002</v>
      </c>
    </row>
    <row r="663" spans="1:2" x14ac:dyDescent="0.25">
      <c r="A663" s="198">
        <v>42577</v>
      </c>
      <c r="B663" s="244">
        <v>4.5895000000000001</v>
      </c>
    </row>
    <row r="664" spans="1:2" x14ac:dyDescent="0.25">
      <c r="A664" s="198">
        <v>42578</v>
      </c>
      <c r="B664" s="244">
        <v>4.59</v>
      </c>
    </row>
    <row r="665" spans="1:2" x14ac:dyDescent="0.25">
      <c r="A665" s="198">
        <v>42579</v>
      </c>
      <c r="B665" s="244">
        <v>4.5881999999999996</v>
      </c>
    </row>
    <row r="666" spans="1:2" x14ac:dyDescent="0.25">
      <c r="A666" s="198">
        <v>42580</v>
      </c>
      <c r="B666" s="244">
        <v>4.5873999999999997</v>
      </c>
    </row>
    <row r="667" spans="1:2" x14ac:dyDescent="0.25">
      <c r="A667" s="198">
        <v>42583</v>
      </c>
      <c r="B667" s="244">
        <v>4.585</v>
      </c>
    </row>
    <row r="668" spans="1:2" x14ac:dyDescent="0.25">
      <c r="A668" s="198">
        <v>42584</v>
      </c>
      <c r="B668" s="244">
        <v>4.585</v>
      </c>
    </row>
    <row r="669" spans="1:2" x14ac:dyDescent="0.25">
      <c r="A669" s="198">
        <v>42585</v>
      </c>
      <c r="B669" s="244">
        <v>4.5835999999999997</v>
      </c>
    </row>
    <row r="670" spans="1:2" x14ac:dyDescent="0.25">
      <c r="A670" s="198">
        <v>42586</v>
      </c>
      <c r="B670" s="244">
        <v>4.5827999999999998</v>
      </c>
    </row>
    <row r="671" spans="1:2" x14ac:dyDescent="0.25">
      <c r="A671" s="198">
        <v>42587</v>
      </c>
      <c r="B671" s="244">
        <v>4.5873999999999997</v>
      </c>
    </row>
    <row r="672" spans="1:2" x14ac:dyDescent="0.25">
      <c r="A672" s="198">
        <v>42590</v>
      </c>
      <c r="B672" s="244">
        <v>4.5860000000000003</v>
      </c>
    </row>
    <row r="673" spans="1:2" x14ac:dyDescent="0.25">
      <c r="A673" s="198">
        <v>42591</v>
      </c>
      <c r="B673" s="244">
        <v>4.5906000000000002</v>
      </c>
    </row>
    <row r="674" spans="1:2" x14ac:dyDescent="0.25">
      <c r="A674" s="198">
        <v>42592</v>
      </c>
      <c r="B674" s="244">
        <v>4.59</v>
      </c>
    </row>
    <row r="675" spans="1:2" x14ac:dyDescent="0.25">
      <c r="A675" s="198">
        <v>42593</v>
      </c>
      <c r="B675" s="244">
        <v>4.59</v>
      </c>
    </row>
    <row r="676" spans="1:2" x14ac:dyDescent="0.25">
      <c r="A676" s="198">
        <v>42594</v>
      </c>
      <c r="B676" s="244">
        <v>4.5875000000000004</v>
      </c>
    </row>
    <row r="677" spans="1:2" x14ac:dyDescent="0.25">
      <c r="A677" s="198">
        <v>42597</v>
      </c>
      <c r="B677" s="244">
        <v>4.5915999999999997</v>
      </c>
    </row>
    <row r="678" spans="1:2" x14ac:dyDescent="0.25">
      <c r="A678" s="198">
        <v>42598</v>
      </c>
      <c r="B678" s="244">
        <v>4.5911999999999997</v>
      </c>
    </row>
    <row r="679" spans="1:2" x14ac:dyDescent="0.25">
      <c r="A679" s="198">
        <v>42599</v>
      </c>
      <c r="B679" s="244">
        <v>4.5911</v>
      </c>
    </row>
    <row r="680" spans="1:2" x14ac:dyDescent="0.25">
      <c r="A680" s="198">
        <v>42600</v>
      </c>
      <c r="B680" s="244">
        <v>4.5937000000000001</v>
      </c>
    </row>
    <row r="681" spans="1:2" x14ac:dyDescent="0.25">
      <c r="A681" s="198">
        <v>42601</v>
      </c>
      <c r="B681" s="244">
        <v>4.5949999999999998</v>
      </c>
    </row>
    <row r="682" spans="1:2" x14ac:dyDescent="0.25">
      <c r="A682" s="198">
        <v>42604</v>
      </c>
      <c r="B682" s="244">
        <v>4.5949999999999998</v>
      </c>
    </row>
    <row r="683" spans="1:2" x14ac:dyDescent="0.25">
      <c r="A683" s="198">
        <v>42605</v>
      </c>
      <c r="B683" s="244">
        <v>4.5940000000000003</v>
      </c>
    </row>
    <row r="684" spans="1:2" x14ac:dyDescent="0.25">
      <c r="A684" s="198">
        <v>42606</v>
      </c>
      <c r="B684" s="244">
        <v>4.5949999999999998</v>
      </c>
    </row>
    <row r="685" spans="1:2" x14ac:dyDescent="0.25">
      <c r="A685" s="198">
        <v>42607</v>
      </c>
      <c r="B685" s="244">
        <v>4.5925000000000002</v>
      </c>
    </row>
    <row r="686" spans="1:2" x14ac:dyDescent="0.25">
      <c r="A686" s="198">
        <v>42608</v>
      </c>
      <c r="B686" s="244">
        <v>4.5925000000000002</v>
      </c>
    </row>
    <row r="687" spans="1:2" x14ac:dyDescent="0.25">
      <c r="A687" s="198">
        <v>42611</v>
      </c>
      <c r="B687" s="244">
        <v>4.5949999999999998</v>
      </c>
    </row>
    <row r="688" spans="1:2" x14ac:dyDescent="0.25">
      <c r="A688" s="198">
        <v>42612</v>
      </c>
      <c r="B688" s="244">
        <v>4.5949999999999998</v>
      </c>
    </row>
    <row r="689" spans="1:2" x14ac:dyDescent="0.25">
      <c r="A689" s="198">
        <v>42613</v>
      </c>
      <c r="B689" s="244">
        <v>4.5949999999999998</v>
      </c>
    </row>
    <row r="690" spans="1:2" x14ac:dyDescent="0.25">
      <c r="A690" s="198">
        <v>42614</v>
      </c>
      <c r="B690" s="244">
        <v>4.5949999999999998</v>
      </c>
    </row>
    <row r="691" spans="1:2" x14ac:dyDescent="0.25">
      <c r="A691" s="198">
        <v>42615</v>
      </c>
      <c r="B691" s="244">
        <v>4.5925000000000002</v>
      </c>
    </row>
    <row r="692" spans="1:2" x14ac:dyDescent="0.25">
      <c r="A692" s="198">
        <v>42618</v>
      </c>
      <c r="B692" s="244">
        <v>4.5925000000000002</v>
      </c>
    </row>
    <row r="693" spans="1:2" x14ac:dyDescent="0.25">
      <c r="A693" s="198">
        <v>42619</v>
      </c>
      <c r="B693" s="244">
        <v>4.5949999999999998</v>
      </c>
    </row>
    <row r="694" spans="1:2" x14ac:dyDescent="0.25">
      <c r="A694" s="198">
        <v>42620</v>
      </c>
      <c r="B694" s="244">
        <v>4.5949999999999998</v>
      </c>
    </row>
    <row r="695" spans="1:2" x14ac:dyDescent="0.25">
      <c r="A695" s="198">
        <v>42621</v>
      </c>
      <c r="B695" s="244">
        <v>4.5949999999999998</v>
      </c>
    </row>
    <row r="696" spans="1:2" x14ac:dyDescent="0.25">
      <c r="A696" s="198">
        <v>42622</v>
      </c>
      <c r="B696" s="244">
        <v>4.59</v>
      </c>
    </row>
    <row r="697" spans="1:2" x14ac:dyDescent="0.25">
      <c r="A697" s="198">
        <v>42625</v>
      </c>
      <c r="B697" s="244">
        <v>4.5906000000000002</v>
      </c>
    </row>
    <row r="698" spans="1:2" x14ac:dyDescent="0.25">
      <c r="A698" s="198">
        <v>42626</v>
      </c>
      <c r="B698" s="244">
        <v>4.5910000000000002</v>
      </c>
    </row>
    <row r="699" spans="1:2" x14ac:dyDescent="0.25">
      <c r="A699" s="198">
        <v>42627</v>
      </c>
      <c r="B699" s="244">
        <v>4.5949999999999998</v>
      </c>
    </row>
    <row r="700" spans="1:2" x14ac:dyDescent="0.25">
      <c r="A700" s="198">
        <v>42628</v>
      </c>
      <c r="B700" s="244">
        <v>4.5949999999999998</v>
      </c>
    </row>
    <row r="701" spans="1:2" x14ac:dyDescent="0.25">
      <c r="A701" s="198">
        <v>42632</v>
      </c>
      <c r="B701" s="244">
        <v>4.5949999999999998</v>
      </c>
    </row>
    <row r="702" spans="1:2" x14ac:dyDescent="0.25">
      <c r="A702" s="198">
        <v>42633</v>
      </c>
      <c r="B702" s="244">
        <v>4.5951000000000004</v>
      </c>
    </row>
    <row r="703" spans="1:2" x14ac:dyDescent="0.25">
      <c r="A703" s="198">
        <v>42634</v>
      </c>
      <c r="B703" s="244">
        <v>4.625</v>
      </c>
    </row>
    <row r="704" spans="1:2" x14ac:dyDescent="0.25">
      <c r="A704" s="198">
        <v>42635</v>
      </c>
      <c r="B704" s="244">
        <v>4.6275000000000004</v>
      </c>
    </row>
    <row r="705" spans="1:2" x14ac:dyDescent="0.25">
      <c r="A705" s="198">
        <v>42636</v>
      </c>
      <c r="B705" s="244">
        <v>4.6342999999999996</v>
      </c>
    </row>
    <row r="706" spans="1:2" x14ac:dyDescent="0.25">
      <c r="A706" s="198">
        <v>42639</v>
      </c>
      <c r="B706" s="244">
        <v>4.6388999999999996</v>
      </c>
    </row>
    <row r="707" spans="1:2" x14ac:dyDescent="0.25">
      <c r="A707" s="198">
        <v>42640</v>
      </c>
      <c r="B707" s="244">
        <v>4.6368999999999998</v>
      </c>
    </row>
    <row r="708" spans="1:2" x14ac:dyDescent="0.25">
      <c r="A708" s="198">
        <v>42641</v>
      </c>
      <c r="B708" s="244">
        <v>4.6398999999999999</v>
      </c>
    </row>
    <row r="709" spans="1:2" x14ac:dyDescent="0.25">
      <c r="A709" s="198">
        <v>42642</v>
      </c>
      <c r="B709" s="244">
        <v>4.6439000000000004</v>
      </c>
    </row>
    <row r="710" spans="1:2" x14ac:dyDescent="0.25">
      <c r="A710" s="198">
        <v>42643</v>
      </c>
      <c r="B710" s="244">
        <v>4.6683000000000003</v>
      </c>
    </row>
    <row r="711" spans="1:2" x14ac:dyDescent="0.25">
      <c r="A711" s="198">
        <v>42646</v>
      </c>
      <c r="B711" s="244">
        <v>5.0724999999999998</v>
      </c>
    </row>
    <row r="712" spans="1:2" x14ac:dyDescent="0.25">
      <c r="A712" s="198">
        <v>42647</v>
      </c>
      <c r="B712" s="244">
        <v>5.0934999999999997</v>
      </c>
    </row>
    <row r="713" spans="1:2" x14ac:dyDescent="0.25">
      <c r="A713" s="198">
        <v>42648</v>
      </c>
      <c r="B713" s="244">
        <v>5.0975000000000001</v>
      </c>
    </row>
    <row r="714" spans="1:2" x14ac:dyDescent="0.25">
      <c r="A714" s="198">
        <v>42649</v>
      </c>
      <c r="B714" s="244">
        <v>5.1025</v>
      </c>
    </row>
    <row r="715" spans="1:2" x14ac:dyDescent="0.25">
      <c r="A715" s="198">
        <v>42650</v>
      </c>
      <c r="B715" s="244">
        <v>5.1050000000000004</v>
      </c>
    </row>
    <row r="716" spans="1:2" x14ac:dyDescent="0.25">
      <c r="A716" s="198">
        <v>42653</v>
      </c>
      <c r="B716" s="244">
        <v>5.1100000000000003</v>
      </c>
    </row>
    <row r="717" spans="1:2" x14ac:dyDescent="0.25">
      <c r="A717" s="198">
        <v>42654</v>
      </c>
      <c r="B717" s="244">
        <v>5.1064999999999996</v>
      </c>
    </row>
    <row r="718" spans="1:2" x14ac:dyDescent="0.25">
      <c r="A718" s="198">
        <v>42655</v>
      </c>
      <c r="B718" s="244">
        <v>5.1069000000000004</v>
      </c>
    </row>
    <row r="719" spans="1:2" x14ac:dyDescent="0.25">
      <c r="A719" s="198">
        <v>42656</v>
      </c>
      <c r="B719" s="244">
        <v>5.1121999999999996</v>
      </c>
    </row>
    <row r="720" spans="1:2" x14ac:dyDescent="0.25">
      <c r="A720" s="198">
        <v>42657</v>
      </c>
      <c r="B720" s="244">
        <v>5.1100000000000003</v>
      </c>
    </row>
    <row r="721" spans="1:2" x14ac:dyDescent="0.25">
      <c r="A721" s="198">
        <v>42660</v>
      </c>
      <c r="B721" s="244">
        <v>5.1115000000000004</v>
      </c>
    </row>
    <row r="722" spans="1:2" x14ac:dyDescent="0.25">
      <c r="A722" s="198">
        <v>42661</v>
      </c>
      <c r="B722" s="244">
        <v>5.1100000000000003</v>
      </c>
    </row>
    <row r="723" spans="1:2" x14ac:dyDescent="0.25">
      <c r="A723" s="198">
        <v>42662</v>
      </c>
      <c r="B723" s="244">
        <v>5.1134000000000004</v>
      </c>
    </row>
    <row r="724" spans="1:2" x14ac:dyDescent="0.25">
      <c r="A724" s="198">
        <v>42663</v>
      </c>
      <c r="B724" s="244">
        <v>5.1124999999999998</v>
      </c>
    </row>
    <row r="725" spans="1:2" x14ac:dyDescent="0.25">
      <c r="A725" s="198">
        <v>42664</v>
      </c>
      <c r="B725" s="244">
        <v>5.1150000000000002</v>
      </c>
    </row>
    <row r="726" spans="1:2" x14ac:dyDescent="0.25">
      <c r="A726" s="198">
        <v>42667</v>
      </c>
      <c r="B726" s="244">
        <v>5.1246999999999998</v>
      </c>
    </row>
    <row r="727" spans="1:2" x14ac:dyDescent="0.25">
      <c r="A727" s="198">
        <v>42668</v>
      </c>
      <c r="B727" s="244">
        <v>5.1177999999999999</v>
      </c>
    </row>
    <row r="728" spans="1:2" x14ac:dyDescent="0.25">
      <c r="A728" s="198">
        <v>42669</v>
      </c>
      <c r="B728" s="244">
        <v>5.1154999999999999</v>
      </c>
    </row>
    <row r="729" spans="1:2" x14ac:dyDescent="0.25">
      <c r="A729" s="198">
        <v>42670</v>
      </c>
      <c r="B729" s="244">
        <v>5.1162000000000001</v>
      </c>
    </row>
    <row r="730" spans="1:2" x14ac:dyDescent="0.25">
      <c r="A730" s="198">
        <v>42671</v>
      </c>
      <c r="B730" s="244">
        <v>5.1162999999999998</v>
      </c>
    </row>
    <row r="731" spans="1:2" x14ac:dyDescent="0.25">
      <c r="A731" s="198">
        <v>42674</v>
      </c>
      <c r="B731" s="244">
        <v>5.1102999999999996</v>
      </c>
    </row>
    <row r="732" spans="1:2" x14ac:dyDescent="0.25">
      <c r="A732" s="198">
        <v>42675</v>
      </c>
      <c r="B732" s="244">
        <v>5.1086</v>
      </c>
    </row>
    <row r="733" spans="1:2" x14ac:dyDescent="0.25">
      <c r="A733" s="198">
        <v>42677</v>
      </c>
      <c r="B733" s="244">
        <v>5.1143000000000001</v>
      </c>
    </row>
    <row r="734" spans="1:2" x14ac:dyDescent="0.25">
      <c r="A734" s="198">
        <v>42678</v>
      </c>
      <c r="B734" s="244">
        <v>5.1117999999999997</v>
      </c>
    </row>
    <row r="735" spans="1:2" x14ac:dyDescent="0.25">
      <c r="A735" s="198">
        <v>42681</v>
      </c>
      <c r="B735" s="244">
        <v>5.1135999999999999</v>
      </c>
    </row>
    <row r="736" spans="1:2" x14ac:dyDescent="0.25">
      <c r="A736" s="198">
        <v>42682</v>
      </c>
      <c r="B736" s="244">
        <v>5.1150000000000002</v>
      </c>
    </row>
    <row r="737" spans="1:2" x14ac:dyDescent="0.25">
      <c r="A737" s="198">
        <v>42683</v>
      </c>
      <c r="B737" s="244">
        <v>5.1173000000000002</v>
      </c>
    </row>
    <row r="738" spans="1:2" x14ac:dyDescent="0.25">
      <c r="A738" s="198">
        <v>42684</v>
      </c>
      <c r="B738" s="244">
        <v>5.2018000000000004</v>
      </c>
    </row>
    <row r="739" spans="1:2" x14ac:dyDescent="0.25">
      <c r="A739" s="198">
        <v>42685</v>
      </c>
      <c r="B739" s="244">
        <v>5.2359</v>
      </c>
    </row>
    <row r="740" spans="1:2" x14ac:dyDescent="0.25">
      <c r="A740" s="198">
        <v>42688</v>
      </c>
      <c r="B740" s="244">
        <v>5.2469999999999999</v>
      </c>
    </row>
    <row r="741" spans="1:2" x14ac:dyDescent="0.25">
      <c r="A741" s="198">
        <v>42689</v>
      </c>
      <c r="B741" s="244">
        <v>5.2850000000000001</v>
      </c>
    </row>
    <row r="742" spans="1:2" x14ac:dyDescent="0.25">
      <c r="A742" s="198">
        <v>42690</v>
      </c>
      <c r="B742" s="244">
        <v>5.31</v>
      </c>
    </row>
    <row r="743" spans="1:2" x14ac:dyDescent="0.25">
      <c r="A743" s="198">
        <v>42691</v>
      </c>
      <c r="B743" s="244">
        <v>5.35</v>
      </c>
    </row>
    <row r="744" spans="1:2" x14ac:dyDescent="0.25">
      <c r="A744" s="198">
        <v>42692</v>
      </c>
      <c r="B744" s="244">
        <v>5.38</v>
      </c>
    </row>
    <row r="745" spans="1:2" x14ac:dyDescent="0.25">
      <c r="A745" s="198">
        <v>42696</v>
      </c>
      <c r="B745" s="244">
        <v>5.5949999999999998</v>
      </c>
    </row>
    <row r="746" spans="1:2" x14ac:dyDescent="0.25">
      <c r="A746" s="198">
        <v>42697</v>
      </c>
      <c r="B746" s="244">
        <v>5.5750000000000002</v>
      </c>
    </row>
    <row r="747" spans="1:2" x14ac:dyDescent="0.25">
      <c r="A747" s="198">
        <v>42698</v>
      </c>
      <c r="B747" s="244">
        <v>5.5724999999999998</v>
      </c>
    </row>
    <row r="748" spans="1:2" x14ac:dyDescent="0.25">
      <c r="A748" s="198">
        <v>42699</v>
      </c>
      <c r="B748" s="244">
        <v>5.5762</v>
      </c>
    </row>
    <row r="749" spans="1:2" x14ac:dyDescent="0.25">
      <c r="A749" s="198">
        <v>42702</v>
      </c>
      <c r="B749" s="244">
        <v>5.5750000000000002</v>
      </c>
    </row>
    <row r="750" spans="1:2" x14ac:dyDescent="0.25">
      <c r="A750" s="198">
        <v>42703</v>
      </c>
      <c r="B750" s="244">
        <v>5.5677000000000003</v>
      </c>
    </row>
    <row r="751" spans="1:2" x14ac:dyDescent="0.25">
      <c r="A751" s="198">
        <v>42704</v>
      </c>
      <c r="B751" s="244">
        <v>5.5738000000000003</v>
      </c>
    </row>
    <row r="752" spans="1:2" x14ac:dyDescent="0.25">
      <c r="A752" s="198">
        <v>42705</v>
      </c>
      <c r="B752" s="244">
        <v>5.5735000000000001</v>
      </c>
    </row>
    <row r="753" spans="1:2" x14ac:dyDescent="0.25">
      <c r="A753" s="198">
        <v>42706</v>
      </c>
      <c r="B753" s="244">
        <v>5.585</v>
      </c>
    </row>
    <row r="754" spans="1:2" x14ac:dyDescent="0.25">
      <c r="A754" s="198">
        <v>42709</v>
      </c>
      <c r="B754" s="244">
        <v>5.5890000000000004</v>
      </c>
    </row>
    <row r="755" spans="1:2" x14ac:dyDescent="0.25">
      <c r="A755" s="198">
        <v>42710</v>
      </c>
      <c r="B755" s="244">
        <v>5.5949999999999998</v>
      </c>
    </row>
    <row r="756" spans="1:2" x14ac:dyDescent="0.25">
      <c r="A756" s="198">
        <v>42711</v>
      </c>
      <c r="B756" s="244">
        <v>5.6035000000000004</v>
      </c>
    </row>
    <row r="757" spans="1:2" x14ac:dyDescent="0.25">
      <c r="A757" s="198">
        <v>42712</v>
      </c>
      <c r="B757" s="244">
        <v>5.5983000000000001</v>
      </c>
    </row>
    <row r="758" spans="1:2" x14ac:dyDescent="0.25">
      <c r="A758" s="198">
        <v>42713</v>
      </c>
      <c r="B758" s="244">
        <v>5.6050000000000004</v>
      </c>
    </row>
    <row r="759" spans="1:2" x14ac:dyDescent="0.25">
      <c r="A759" s="198">
        <v>42717</v>
      </c>
      <c r="B759" s="244">
        <v>5.6013000000000002</v>
      </c>
    </row>
    <row r="760" spans="1:2" x14ac:dyDescent="0.25">
      <c r="A760" s="198">
        <v>42718</v>
      </c>
      <c r="B760" s="244">
        <v>5.6018999999999997</v>
      </c>
    </row>
    <row r="761" spans="1:2" x14ac:dyDescent="0.25">
      <c r="A761" s="198">
        <v>42719</v>
      </c>
      <c r="B761" s="244">
        <v>5.6048999999999998</v>
      </c>
    </row>
    <row r="762" spans="1:2" x14ac:dyDescent="0.25">
      <c r="A762" s="198">
        <v>42720</v>
      </c>
      <c r="B762" s="244">
        <v>5.6273999999999997</v>
      </c>
    </row>
    <row r="763" spans="1:2" x14ac:dyDescent="0.25">
      <c r="A763" s="198">
        <v>42723</v>
      </c>
      <c r="B763" s="244">
        <v>6.0803000000000003</v>
      </c>
    </row>
    <row r="764" spans="1:2" x14ac:dyDescent="0.25">
      <c r="A764" s="198">
        <v>42724</v>
      </c>
      <c r="B764" s="244">
        <v>6.0925000000000002</v>
      </c>
    </row>
    <row r="765" spans="1:2" x14ac:dyDescent="0.25">
      <c r="A765" s="198">
        <v>42725</v>
      </c>
      <c r="B765" s="244">
        <v>6.1025</v>
      </c>
    </row>
    <row r="766" spans="1:2" x14ac:dyDescent="0.25">
      <c r="A766" s="198">
        <v>42726</v>
      </c>
      <c r="B766" s="244">
        <v>6.1074999999999999</v>
      </c>
    </row>
    <row r="767" spans="1:2" x14ac:dyDescent="0.25">
      <c r="A767" s="198">
        <v>42727</v>
      </c>
      <c r="B767" s="244">
        <v>6.1050000000000004</v>
      </c>
    </row>
    <row r="768" spans="1:2" x14ac:dyDescent="0.25">
      <c r="A768" s="198">
        <v>42730</v>
      </c>
      <c r="B768" s="244">
        <v>6.11</v>
      </c>
    </row>
    <row r="769" spans="1:2" x14ac:dyDescent="0.25">
      <c r="A769" s="198">
        <v>42731</v>
      </c>
      <c r="B769" s="244">
        <v>6.11</v>
      </c>
    </row>
    <row r="770" spans="1:2" x14ac:dyDescent="0.25">
      <c r="A770" s="198">
        <v>42732</v>
      </c>
      <c r="B770" s="244">
        <v>6.11</v>
      </c>
    </row>
    <row r="771" spans="1:2" x14ac:dyDescent="0.25">
      <c r="A771" s="198">
        <v>42733</v>
      </c>
      <c r="B771" s="244">
        <v>6.11</v>
      </c>
    </row>
    <row r="772" spans="1:2" x14ac:dyDescent="0.25">
      <c r="A772" s="198">
        <v>42734</v>
      </c>
      <c r="B772" s="244">
        <v>6.1066000000000003</v>
      </c>
    </row>
    <row r="773" spans="1:2" x14ac:dyDescent="0.25">
      <c r="A773" s="198">
        <v>42737</v>
      </c>
      <c r="B773" s="244">
        <v>6.11</v>
      </c>
    </row>
    <row r="774" spans="1:2" x14ac:dyDescent="0.25">
      <c r="A774" s="198">
        <v>42738</v>
      </c>
      <c r="B774" s="244">
        <v>6.11</v>
      </c>
    </row>
    <row r="775" spans="1:2" x14ac:dyDescent="0.25">
      <c r="A775" s="198">
        <v>42739</v>
      </c>
      <c r="B775" s="244">
        <v>6.1150000000000002</v>
      </c>
    </row>
    <row r="776" spans="1:2" x14ac:dyDescent="0.25">
      <c r="A776" s="198">
        <v>42740</v>
      </c>
      <c r="B776" s="244">
        <v>6.12</v>
      </c>
    </row>
    <row r="777" spans="1:2" x14ac:dyDescent="0.25">
      <c r="A777" s="198">
        <v>42741</v>
      </c>
      <c r="B777" s="244">
        <v>6.12</v>
      </c>
    </row>
    <row r="778" spans="1:2" x14ac:dyDescent="0.25">
      <c r="A778" s="198">
        <v>42744</v>
      </c>
      <c r="B778" s="244">
        <v>6.12</v>
      </c>
    </row>
    <row r="779" spans="1:2" x14ac:dyDescent="0.25">
      <c r="A779" s="198">
        <v>42745</v>
      </c>
      <c r="B779" s="244">
        <v>6.1150000000000002</v>
      </c>
    </row>
    <row r="780" spans="1:2" x14ac:dyDescent="0.25">
      <c r="A780" s="198">
        <v>42746</v>
      </c>
      <c r="B780" s="244">
        <v>6.1150000000000002</v>
      </c>
    </row>
    <row r="781" spans="1:2" x14ac:dyDescent="0.25">
      <c r="A781" s="198">
        <v>42747</v>
      </c>
      <c r="B781" s="244">
        <v>6.1150000000000002</v>
      </c>
    </row>
    <row r="782" spans="1:2" x14ac:dyDescent="0.25">
      <c r="A782" s="198">
        <v>42748</v>
      </c>
      <c r="B782" s="244">
        <v>6.1150000000000002</v>
      </c>
    </row>
    <row r="783" spans="1:2" x14ac:dyDescent="0.25">
      <c r="A783" s="198">
        <v>42751</v>
      </c>
      <c r="B783" s="244">
        <v>6.1174999999999997</v>
      </c>
    </row>
    <row r="784" spans="1:2" x14ac:dyDescent="0.25">
      <c r="A784" s="198">
        <v>42752</v>
      </c>
      <c r="B784" s="244">
        <v>6.1185999999999998</v>
      </c>
    </row>
    <row r="785" spans="1:2" x14ac:dyDescent="0.25">
      <c r="A785" s="198">
        <v>42753</v>
      </c>
      <c r="B785" s="244">
        <v>6.1276000000000002</v>
      </c>
    </row>
    <row r="786" spans="1:2" x14ac:dyDescent="0.25">
      <c r="A786" s="198">
        <v>42754</v>
      </c>
      <c r="B786" s="244">
        <v>6.13</v>
      </c>
    </row>
    <row r="787" spans="1:2" x14ac:dyDescent="0.25">
      <c r="A787" s="198">
        <v>42755</v>
      </c>
      <c r="B787" s="244">
        <v>6.1375000000000002</v>
      </c>
    </row>
    <row r="788" spans="1:2" x14ac:dyDescent="0.25">
      <c r="A788" s="198">
        <v>42758</v>
      </c>
      <c r="B788" s="244">
        <v>6.1386000000000003</v>
      </c>
    </row>
    <row r="789" spans="1:2" x14ac:dyDescent="0.25">
      <c r="A789" s="198">
        <v>42759</v>
      </c>
      <c r="B789" s="244">
        <v>6.1424000000000003</v>
      </c>
    </row>
    <row r="790" spans="1:2" x14ac:dyDescent="0.25">
      <c r="A790" s="198">
        <v>42760</v>
      </c>
      <c r="B790" s="244">
        <v>6.1475</v>
      </c>
    </row>
    <row r="791" spans="1:2" x14ac:dyDescent="0.25">
      <c r="A791" s="198">
        <v>42761</v>
      </c>
      <c r="B791" s="244">
        <v>6.1475</v>
      </c>
    </row>
    <row r="792" spans="1:2" x14ac:dyDescent="0.25">
      <c r="A792" s="198">
        <v>42762</v>
      </c>
      <c r="B792" s="244">
        <v>6.1475</v>
      </c>
    </row>
    <row r="793" spans="1:2" x14ac:dyDescent="0.25">
      <c r="A793" s="198">
        <v>42765</v>
      </c>
      <c r="B793" s="244">
        <v>6.1536999999999997</v>
      </c>
    </row>
    <row r="794" spans="1:2" x14ac:dyDescent="0.25">
      <c r="A794" s="198">
        <v>42766</v>
      </c>
      <c r="B794" s="244">
        <v>6.1524999999999999</v>
      </c>
    </row>
    <row r="795" spans="1:2" x14ac:dyDescent="0.25">
      <c r="A795" s="198">
        <v>42767</v>
      </c>
      <c r="B795" s="244">
        <v>6.16</v>
      </c>
    </row>
    <row r="796" spans="1:2" x14ac:dyDescent="0.25">
      <c r="A796" s="198">
        <v>42768</v>
      </c>
      <c r="B796" s="244">
        <v>6.1615000000000002</v>
      </c>
    </row>
    <row r="797" spans="1:2" x14ac:dyDescent="0.25">
      <c r="A797" s="198">
        <v>42769</v>
      </c>
      <c r="B797" s="244">
        <v>6.1624999999999996</v>
      </c>
    </row>
    <row r="798" spans="1:2" x14ac:dyDescent="0.25">
      <c r="A798" s="198">
        <v>42773</v>
      </c>
      <c r="B798" s="244">
        <v>6.1703000000000001</v>
      </c>
    </row>
    <row r="799" spans="1:2" x14ac:dyDescent="0.25">
      <c r="A799" s="198">
        <v>42774</v>
      </c>
      <c r="B799" s="244">
        <v>6.1695000000000002</v>
      </c>
    </row>
    <row r="800" spans="1:2" x14ac:dyDescent="0.25">
      <c r="A800" s="198">
        <v>42775</v>
      </c>
      <c r="B800" s="244">
        <v>6.1822999999999997</v>
      </c>
    </row>
    <row r="801" spans="1:2" x14ac:dyDescent="0.25">
      <c r="A801" s="198">
        <v>42776</v>
      </c>
      <c r="B801" s="244">
        <v>6.1958000000000002</v>
      </c>
    </row>
    <row r="802" spans="1:2" x14ac:dyDescent="0.25">
      <c r="A802" s="198">
        <v>42779</v>
      </c>
      <c r="B802" s="244">
        <v>6.585</v>
      </c>
    </row>
    <row r="803" spans="1:2" x14ac:dyDescent="0.25">
      <c r="A803" s="198">
        <v>42780</v>
      </c>
      <c r="B803" s="244">
        <v>6.5871000000000004</v>
      </c>
    </row>
    <row r="804" spans="1:2" x14ac:dyDescent="0.25">
      <c r="A804" s="198">
        <v>42781</v>
      </c>
      <c r="B804" s="244">
        <v>6.5880000000000001</v>
      </c>
    </row>
    <row r="805" spans="1:2" x14ac:dyDescent="0.25">
      <c r="A805" s="198">
        <v>42782</v>
      </c>
      <c r="B805" s="244">
        <v>6.5949999999999998</v>
      </c>
    </row>
    <row r="806" spans="1:2" x14ac:dyDescent="0.25">
      <c r="A806" s="198">
        <v>42783</v>
      </c>
      <c r="B806" s="244">
        <v>6.5949999999999998</v>
      </c>
    </row>
    <row r="807" spans="1:2" x14ac:dyDescent="0.25">
      <c r="A807" s="198">
        <v>42786</v>
      </c>
      <c r="B807" s="244">
        <v>6.5949999999999998</v>
      </c>
    </row>
    <row r="808" spans="1:2" x14ac:dyDescent="0.25">
      <c r="A808" s="198">
        <v>42787</v>
      </c>
      <c r="B808" s="244">
        <v>6.5964999999999998</v>
      </c>
    </row>
    <row r="809" spans="1:2" x14ac:dyDescent="0.25">
      <c r="A809" s="198">
        <v>42788</v>
      </c>
      <c r="B809" s="244">
        <v>6.5949999999999998</v>
      </c>
    </row>
    <row r="810" spans="1:2" x14ac:dyDescent="0.25">
      <c r="A810" s="198">
        <v>42789</v>
      </c>
      <c r="B810" s="244">
        <v>6.59</v>
      </c>
    </row>
    <row r="811" spans="1:2" x14ac:dyDescent="0.25">
      <c r="A811" s="198">
        <v>42790</v>
      </c>
      <c r="B811" s="244">
        <v>6.6</v>
      </c>
    </row>
    <row r="812" spans="1:2" x14ac:dyDescent="0.25">
      <c r="A812" s="198">
        <v>42793</v>
      </c>
      <c r="B812" s="244">
        <v>6.6029999999999998</v>
      </c>
    </row>
    <row r="813" spans="1:2" x14ac:dyDescent="0.25">
      <c r="A813" s="198">
        <v>42794</v>
      </c>
      <c r="B813" s="244">
        <v>6.6050000000000004</v>
      </c>
    </row>
    <row r="814" spans="1:2" x14ac:dyDescent="0.25">
      <c r="A814" s="198">
        <v>42795</v>
      </c>
      <c r="B814" s="244">
        <v>6.6058000000000003</v>
      </c>
    </row>
    <row r="815" spans="1:2" x14ac:dyDescent="0.25">
      <c r="A815" s="198">
        <v>42796</v>
      </c>
      <c r="B815" s="244">
        <v>6.6066000000000003</v>
      </c>
    </row>
    <row r="816" spans="1:2" x14ac:dyDescent="0.25">
      <c r="A816" s="198">
        <v>42797</v>
      </c>
      <c r="B816" s="244">
        <v>6.6102999999999996</v>
      </c>
    </row>
    <row r="817" spans="1:2" x14ac:dyDescent="0.25">
      <c r="A817" s="198">
        <v>42800</v>
      </c>
      <c r="B817" s="244">
        <v>6.6074999999999999</v>
      </c>
    </row>
    <row r="818" spans="1:2" x14ac:dyDescent="0.25">
      <c r="A818" s="198">
        <v>42801</v>
      </c>
      <c r="B818" s="244">
        <v>6.6075999999999997</v>
      </c>
    </row>
    <row r="819" spans="1:2" x14ac:dyDescent="0.25">
      <c r="A819" s="198">
        <v>42802</v>
      </c>
      <c r="B819" s="244">
        <v>6.6071999999999997</v>
      </c>
    </row>
    <row r="820" spans="1:2" x14ac:dyDescent="0.25">
      <c r="A820" s="198">
        <v>42803</v>
      </c>
      <c r="B820" s="244">
        <v>6.6050000000000004</v>
      </c>
    </row>
    <row r="821" spans="1:2" x14ac:dyDescent="0.25">
      <c r="A821" s="198">
        <v>42804</v>
      </c>
      <c r="B821" s="244">
        <v>6.6063999999999998</v>
      </c>
    </row>
    <row r="822" spans="1:2" x14ac:dyDescent="0.25">
      <c r="A822" s="198">
        <v>42807</v>
      </c>
      <c r="B822" s="244">
        <v>6.61</v>
      </c>
    </row>
    <row r="823" spans="1:2" x14ac:dyDescent="0.25">
      <c r="A823" s="198">
        <v>42808</v>
      </c>
      <c r="B823" s="244">
        <v>6.62</v>
      </c>
    </row>
    <row r="824" spans="1:2" x14ac:dyDescent="0.25">
      <c r="A824" s="198">
        <v>42809</v>
      </c>
      <c r="B824" s="244">
        <v>6.62</v>
      </c>
    </row>
    <row r="825" spans="1:2" x14ac:dyDescent="0.25">
      <c r="A825" s="198">
        <v>42810</v>
      </c>
      <c r="B825" s="244">
        <v>6.6266999999999996</v>
      </c>
    </row>
    <row r="826" spans="1:2" x14ac:dyDescent="0.25">
      <c r="A826" s="198">
        <v>42811</v>
      </c>
      <c r="B826" s="244">
        <v>6.6336000000000004</v>
      </c>
    </row>
    <row r="827" spans="1:2" x14ac:dyDescent="0.25">
      <c r="A827" s="198">
        <v>42815</v>
      </c>
      <c r="B827" s="244">
        <v>6.6355000000000004</v>
      </c>
    </row>
    <row r="828" spans="1:2" x14ac:dyDescent="0.25">
      <c r="A828" s="198">
        <v>42816</v>
      </c>
      <c r="B828" s="244">
        <v>6.6425000000000001</v>
      </c>
    </row>
    <row r="829" spans="1:2" x14ac:dyDescent="0.25">
      <c r="A829" s="198">
        <v>42817</v>
      </c>
      <c r="B829" s="244">
        <v>6.6437999999999997</v>
      </c>
    </row>
    <row r="830" spans="1:2" x14ac:dyDescent="0.25">
      <c r="A830" s="198">
        <v>42818</v>
      </c>
      <c r="B830" s="244">
        <v>6.6437999999999997</v>
      </c>
    </row>
    <row r="831" spans="1:2" x14ac:dyDescent="0.25">
      <c r="A831" s="198">
        <v>42821</v>
      </c>
      <c r="B831" s="244">
        <v>6.6325000000000003</v>
      </c>
    </row>
    <row r="832" spans="1:2" x14ac:dyDescent="0.25">
      <c r="A832" s="198">
        <v>42822</v>
      </c>
      <c r="B832" s="244">
        <v>6.6413000000000002</v>
      </c>
    </row>
    <row r="833" spans="1:2" x14ac:dyDescent="0.25">
      <c r="A833" s="198">
        <v>42823</v>
      </c>
      <c r="B833" s="244">
        <v>6.66</v>
      </c>
    </row>
    <row r="834" spans="1:2" x14ac:dyDescent="0.25">
      <c r="A834" s="198">
        <v>42824</v>
      </c>
      <c r="B834" s="244">
        <v>6.6692999999999998</v>
      </c>
    </row>
    <row r="835" spans="1:2" x14ac:dyDescent="0.25">
      <c r="A835" s="198">
        <v>42825</v>
      </c>
      <c r="B835" s="244">
        <v>6.6795999999999998</v>
      </c>
    </row>
    <row r="836" spans="1:2" x14ac:dyDescent="0.25">
      <c r="A836" s="198">
        <v>42828</v>
      </c>
      <c r="B836" s="244">
        <v>6.835</v>
      </c>
    </row>
    <row r="837" spans="1:2" x14ac:dyDescent="0.25">
      <c r="A837" s="198">
        <v>42829</v>
      </c>
      <c r="B837" s="244">
        <v>6.8411999999999997</v>
      </c>
    </row>
    <row r="838" spans="1:2" x14ac:dyDescent="0.25">
      <c r="A838" s="198">
        <v>42830</v>
      </c>
      <c r="B838" s="244">
        <v>6.8490000000000002</v>
      </c>
    </row>
    <row r="839" spans="1:2" x14ac:dyDescent="0.25">
      <c r="A839" s="198">
        <v>42831</v>
      </c>
      <c r="B839" s="244">
        <v>6.8448000000000002</v>
      </c>
    </row>
    <row r="840" spans="1:2" x14ac:dyDescent="0.25">
      <c r="A840" s="198">
        <v>42832</v>
      </c>
      <c r="B840" s="244">
        <v>6.8524000000000003</v>
      </c>
    </row>
    <row r="841" spans="1:2" x14ac:dyDescent="0.25">
      <c r="A841" s="198">
        <v>42835</v>
      </c>
      <c r="B841" s="244">
        <v>6.8491999999999997</v>
      </c>
    </row>
    <row r="842" spans="1:2" x14ac:dyDescent="0.25">
      <c r="A842" s="198">
        <v>42836</v>
      </c>
      <c r="B842" s="244">
        <v>6.8550000000000004</v>
      </c>
    </row>
    <row r="843" spans="1:2" x14ac:dyDescent="0.25">
      <c r="A843" s="198">
        <v>42837</v>
      </c>
      <c r="B843" s="244">
        <v>6.8559000000000001</v>
      </c>
    </row>
    <row r="844" spans="1:2" x14ac:dyDescent="0.25">
      <c r="A844" s="198">
        <v>42842</v>
      </c>
      <c r="B844" s="244">
        <v>6.86</v>
      </c>
    </row>
    <row r="845" spans="1:2" x14ac:dyDescent="0.25">
      <c r="A845" s="198">
        <v>42843</v>
      </c>
      <c r="B845" s="244">
        <v>6.87</v>
      </c>
    </row>
    <row r="846" spans="1:2" x14ac:dyDescent="0.25">
      <c r="A846" s="198">
        <v>42844</v>
      </c>
      <c r="B846" s="244">
        <v>6.8724999999999996</v>
      </c>
    </row>
    <row r="847" spans="1:2" x14ac:dyDescent="0.25">
      <c r="A847" s="198">
        <v>42845</v>
      </c>
      <c r="B847" s="244">
        <v>6.8724999999999996</v>
      </c>
    </row>
    <row r="848" spans="1:2" x14ac:dyDescent="0.25">
      <c r="A848" s="198">
        <v>42846</v>
      </c>
      <c r="B848" s="244">
        <v>6.88</v>
      </c>
    </row>
    <row r="849" spans="1:2" x14ac:dyDescent="0.25">
      <c r="A849" s="198">
        <v>42849</v>
      </c>
      <c r="B849" s="244">
        <v>6.88</v>
      </c>
    </row>
    <row r="850" spans="1:2" x14ac:dyDescent="0.25">
      <c r="A850" s="198">
        <v>42850</v>
      </c>
      <c r="B850" s="244">
        <v>6.8860000000000001</v>
      </c>
    </row>
    <row r="851" spans="1:2" x14ac:dyDescent="0.25">
      <c r="A851" s="198">
        <v>42851</v>
      </c>
      <c r="B851" s="244">
        <v>6.8929</v>
      </c>
    </row>
    <row r="852" spans="1:2" x14ac:dyDescent="0.25">
      <c r="A852" s="198">
        <v>42852</v>
      </c>
      <c r="B852" s="244">
        <v>6.9013</v>
      </c>
    </row>
    <row r="853" spans="1:2" x14ac:dyDescent="0.25">
      <c r="A853" s="198">
        <v>42853</v>
      </c>
      <c r="B853" s="244">
        <v>6.8925000000000001</v>
      </c>
    </row>
    <row r="854" spans="1:2" x14ac:dyDescent="0.25">
      <c r="A854" s="198">
        <v>42857</v>
      </c>
      <c r="B854" s="244">
        <v>6.8935000000000004</v>
      </c>
    </row>
    <row r="855" spans="1:2" x14ac:dyDescent="0.25">
      <c r="A855" s="198">
        <v>42858</v>
      </c>
      <c r="B855" s="244">
        <v>6.8954000000000004</v>
      </c>
    </row>
    <row r="856" spans="1:2" x14ac:dyDescent="0.25">
      <c r="A856" s="198">
        <v>42859</v>
      </c>
      <c r="B856" s="244">
        <v>6.8967000000000001</v>
      </c>
    </row>
    <row r="857" spans="1:2" x14ac:dyDescent="0.25">
      <c r="A857" s="198">
        <v>42860</v>
      </c>
      <c r="B857" s="244">
        <v>6.8952</v>
      </c>
    </row>
    <row r="858" spans="1:2" x14ac:dyDescent="0.25">
      <c r="A858" s="198">
        <v>42863</v>
      </c>
      <c r="B858" s="244">
        <v>6.8947000000000003</v>
      </c>
    </row>
    <row r="859" spans="1:2" x14ac:dyDescent="0.25">
      <c r="A859" s="198">
        <v>42864</v>
      </c>
      <c r="B859" s="244">
        <v>6.89</v>
      </c>
    </row>
    <row r="860" spans="1:2" x14ac:dyDescent="0.25">
      <c r="A860" s="198">
        <v>42865</v>
      </c>
      <c r="B860" s="244">
        <v>6.8898000000000001</v>
      </c>
    </row>
    <row r="861" spans="1:2" x14ac:dyDescent="0.25">
      <c r="A861" s="198">
        <v>42866</v>
      </c>
      <c r="B861" s="244">
        <v>6.8929999999999998</v>
      </c>
    </row>
    <row r="862" spans="1:2" x14ac:dyDescent="0.25">
      <c r="A862" s="198">
        <v>42867</v>
      </c>
      <c r="B862" s="244">
        <v>6.8949999999999996</v>
      </c>
    </row>
    <row r="863" spans="1:2" x14ac:dyDescent="0.25">
      <c r="A863" s="198">
        <v>42870</v>
      </c>
      <c r="B863" s="244">
        <v>6.8906000000000001</v>
      </c>
    </row>
    <row r="864" spans="1:2" x14ac:dyDescent="0.25">
      <c r="A864" s="198">
        <v>42871</v>
      </c>
      <c r="B864" s="244">
        <v>6.8884999999999996</v>
      </c>
    </row>
    <row r="865" spans="1:2" x14ac:dyDescent="0.25">
      <c r="A865" s="198">
        <v>42872</v>
      </c>
      <c r="B865" s="244">
        <v>6.8875999999999999</v>
      </c>
    </row>
    <row r="866" spans="1:2" x14ac:dyDescent="0.25">
      <c r="A866" s="198">
        <v>42873</v>
      </c>
      <c r="B866" s="244">
        <v>6.8857999999999997</v>
      </c>
    </row>
    <row r="867" spans="1:2" x14ac:dyDescent="0.25">
      <c r="A867" s="198">
        <v>42874</v>
      </c>
      <c r="B867" s="244">
        <v>6.8895999999999997</v>
      </c>
    </row>
    <row r="868" spans="1:2" x14ac:dyDescent="0.25">
      <c r="A868" s="198">
        <v>42877</v>
      </c>
      <c r="B868" s="244">
        <v>7.0979000000000001</v>
      </c>
    </row>
    <row r="869" spans="1:2" x14ac:dyDescent="0.25">
      <c r="A869" s="198">
        <v>42878</v>
      </c>
      <c r="B869" s="244">
        <v>7.1144999999999996</v>
      </c>
    </row>
    <row r="870" spans="1:2" x14ac:dyDescent="0.25">
      <c r="A870" s="198">
        <v>42879</v>
      </c>
      <c r="B870" s="244">
        <v>7.12</v>
      </c>
    </row>
    <row r="871" spans="1:2" x14ac:dyDescent="0.25">
      <c r="A871" s="198">
        <v>42880</v>
      </c>
      <c r="B871" s="244">
        <v>7.13</v>
      </c>
    </row>
    <row r="872" spans="1:2" x14ac:dyDescent="0.25">
      <c r="A872" s="198">
        <v>42881</v>
      </c>
      <c r="B872" s="244">
        <v>7.1334999999999997</v>
      </c>
    </row>
    <row r="873" spans="1:2" x14ac:dyDescent="0.25">
      <c r="A873" s="198">
        <v>42884</v>
      </c>
      <c r="B873" s="244">
        <v>7.14</v>
      </c>
    </row>
    <row r="874" spans="1:2" x14ac:dyDescent="0.25">
      <c r="A874" s="198">
        <v>42885</v>
      </c>
      <c r="B874" s="244">
        <v>7.1449999999999996</v>
      </c>
    </row>
    <row r="875" spans="1:2" x14ac:dyDescent="0.25">
      <c r="A875" s="198">
        <v>42886</v>
      </c>
      <c r="B875" s="244">
        <v>7.1471</v>
      </c>
    </row>
    <row r="876" spans="1:2" x14ac:dyDescent="0.25">
      <c r="A876" s="198">
        <v>42887</v>
      </c>
      <c r="B876" s="244">
        <v>7.15</v>
      </c>
    </row>
    <row r="877" spans="1:2" x14ac:dyDescent="0.25">
      <c r="A877" s="198">
        <v>42888</v>
      </c>
      <c r="B877" s="244">
        <v>7.15</v>
      </c>
    </row>
    <row r="878" spans="1:2" x14ac:dyDescent="0.25">
      <c r="A878" s="198">
        <v>42891</v>
      </c>
      <c r="B878" s="244">
        <v>7.1555999999999997</v>
      </c>
    </row>
    <row r="879" spans="1:2" x14ac:dyDescent="0.25">
      <c r="A879" s="198">
        <v>42892</v>
      </c>
      <c r="B879" s="244">
        <v>7.1550000000000002</v>
      </c>
    </row>
    <row r="880" spans="1:2" x14ac:dyDescent="0.25">
      <c r="A880" s="198">
        <v>42893</v>
      </c>
      <c r="B880" s="244">
        <v>7.16</v>
      </c>
    </row>
    <row r="881" spans="1:2" x14ac:dyDescent="0.25">
      <c r="A881" s="198">
        <v>42894</v>
      </c>
      <c r="B881" s="244">
        <v>7.1585000000000001</v>
      </c>
    </row>
    <row r="882" spans="1:2" x14ac:dyDescent="0.25">
      <c r="A882" s="198">
        <v>42895</v>
      </c>
      <c r="B882" s="244">
        <v>7.1647999999999996</v>
      </c>
    </row>
    <row r="883" spans="1:2" x14ac:dyDescent="0.25">
      <c r="A883" s="198">
        <v>42898</v>
      </c>
      <c r="B883" s="244">
        <v>7.1661000000000001</v>
      </c>
    </row>
    <row r="884" spans="1:2" x14ac:dyDescent="0.25">
      <c r="A884" s="198">
        <v>42899</v>
      </c>
      <c r="B884" s="244">
        <v>7.19</v>
      </c>
    </row>
    <row r="885" spans="1:2" x14ac:dyDescent="0.25">
      <c r="A885" s="198">
        <v>42900</v>
      </c>
      <c r="B885" s="244">
        <v>7.1875</v>
      </c>
    </row>
    <row r="886" spans="1:2" x14ac:dyDescent="0.25">
      <c r="A886" s="198">
        <v>42901</v>
      </c>
      <c r="B886" s="244">
        <v>7.1872999999999996</v>
      </c>
    </row>
    <row r="887" spans="1:2" x14ac:dyDescent="0.25">
      <c r="A887" s="198">
        <v>42902</v>
      </c>
      <c r="B887" s="244">
        <v>7.1849999999999996</v>
      </c>
    </row>
    <row r="888" spans="1:2" x14ac:dyDescent="0.25">
      <c r="A888" s="198">
        <v>42905</v>
      </c>
      <c r="B888" s="244">
        <v>7.1898999999999997</v>
      </c>
    </row>
    <row r="889" spans="1:2" x14ac:dyDescent="0.25">
      <c r="A889" s="198">
        <v>42906</v>
      </c>
      <c r="B889" s="244">
        <v>7.1928999999999998</v>
      </c>
    </row>
    <row r="890" spans="1:2" x14ac:dyDescent="0.25">
      <c r="A890" s="198">
        <v>42907</v>
      </c>
      <c r="B890" s="244">
        <v>7.1974999999999998</v>
      </c>
    </row>
    <row r="891" spans="1:2" x14ac:dyDescent="0.25">
      <c r="A891" s="198">
        <v>42908</v>
      </c>
      <c r="B891" s="244">
        <v>7.202</v>
      </c>
    </row>
    <row r="892" spans="1:2" x14ac:dyDescent="0.25">
      <c r="A892" s="198">
        <v>42909</v>
      </c>
      <c r="B892" s="244">
        <v>7.21</v>
      </c>
    </row>
    <row r="893" spans="1:2" x14ac:dyDescent="0.25">
      <c r="A893" s="198">
        <v>42912</v>
      </c>
      <c r="B893" s="244">
        <v>7.3464999999999998</v>
      </c>
    </row>
    <row r="894" spans="1:2" x14ac:dyDescent="0.25">
      <c r="A894" s="198">
        <v>42913</v>
      </c>
      <c r="B894" s="244">
        <v>7.34</v>
      </c>
    </row>
    <row r="895" spans="1:2" x14ac:dyDescent="0.25">
      <c r="A895" s="198">
        <v>42914</v>
      </c>
      <c r="B895" s="244">
        <v>7.33</v>
      </c>
    </row>
    <row r="896" spans="1:2" x14ac:dyDescent="0.25">
      <c r="A896" s="198">
        <v>42915</v>
      </c>
      <c r="B896" s="244">
        <v>7.3491999999999997</v>
      </c>
    </row>
    <row r="897" spans="1:2" x14ac:dyDescent="0.25">
      <c r="A897" s="198">
        <v>42916</v>
      </c>
      <c r="B897" s="244">
        <v>7.36</v>
      </c>
    </row>
    <row r="898" spans="1:2" x14ac:dyDescent="0.25">
      <c r="A898" s="198">
        <v>42919</v>
      </c>
      <c r="B898" s="244">
        <v>7.3650000000000002</v>
      </c>
    </row>
    <row r="899" spans="1:2" x14ac:dyDescent="0.25">
      <c r="A899" s="198">
        <v>42920</v>
      </c>
      <c r="B899" s="244">
        <v>7.3696000000000002</v>
      </c>
    </row>
    <row r="900" spans="1:2" x14ac:dyDescent="0.25">
      <c r="A900" s="198">
        <v>42921</v>
      </c>
      <c r="B900" s="244">
        <v>7.37</v>
      </c>
    </row>
    <row r="901" spans="1:2" x14ac:dyDescent="0.25">
      <c r="A901" s="198">
        <v>42922</v>
      </c>
      <c r="B901" s="244">
        <v>7.37</v>
      </c>
    </row>
    <row r="902" spans="1:2" x14ac:dyDescent="0.25">
      <c r="A902" s="198">
        <v>42923</v>
      </c>
      <c r="B902" s="244">
        <v>7.3691000000000004</v>
      </c>
    </row>
    <row r="903" spans="1:2" x14ac:dyDescent="0.25">
      <c r="A903" s="198">
        <v>42926</v>
      </c>
      <c r="B903" s="244">
        <v>7.3650000000000002</v>
      </c>
    </row>
    <row r="904" spans="1:2" x14ac:dyDescent="0.25">
      <c r="A904" s="198">
        <v>42927</v>
      </c>
      <c r="B904" s="244">
        <v>7.3526999999999996</v>
      </c>
    </row>
    <row r="905" spans="1:2" x14ac:dyDescent="0.25">
      <c r="A905" s="198">
        <v>42928</v>
      </c>
      <c r="B905" s="244">
        <v>7.3525</v>
      </c>
    </row>
    <row r="906" spans="1:2" x14ac:dyDescent="0.25">
      <c r="A906" s="198">
        <v>42929</v>
      </c>
      <c r="B906" s="244">
        <v>7.3425000000000002</v>
      </c>
    </row>
    <row r="907" spans="1:2" x14ac:dyDescent="0.25">
      <c r="A907" s="198">
        <v>42930</v>
      </c>
      <c r="B907" s="244">
        <v>7.3550000000000004</v>
      </c>
    </row>
    <row r="908" spans="1:2" x14ac:dyDescent="0.25">
      <c r="A908" s="198">
        <v>42933</v>
      </c>
      <c r="B908" s="244">
        <v>7.3612000000000002</v>
      </c>
    </row>
    <row r="909" spans="1:2" x14ac:dyDescent="0.25">
      <c r="A909" s="198">
        <v>42934</v>
      </c>
      <c r="B909" s="244">
        <v>7.3650000000000002</v>
      </c>
    </row>
    <row r="910" spans="1:2" x14ac:dyDescent="0.25">
      <c r="A910" s="198">
        <v>42935</v>
      </c>
      <c r="B910" s="244">
        <v>7.3674999999999997</v>
      </c>
    </row>
    <row r="911" spans="1:2" x14ac:dyDescent="0.25">
      <c r="A911" s="198">
        <v>42936</v>
      </c>
      <c r="B911" s="244">
        <v>7.3674999999999997</v>
      </c>
    </row>
    <row r="912" spans="1:2" x14ac:dyDescent="0.25">
      <c r="A912" s="198">
        <v>42937</v>
      </c>
      <c r="B912" s="244">
        <v>7.3750999999999998</v>
      </c>
    </row>
    <row r="913" spans="1:2" x14ac:dyDescent="0.25">
      <c r="A913" s="198">
        <v>42940</v>
      </c>
      <c r="B913" s="244">
        <v>7.3674999999999997</v>
      </c>
    </row>
    <row r="914" spans="1:2" x14ac:dyDescent="0.25">
      <c r="A914" s="198">
        <v>42941</v>
      </c>
      <c r="B914" s="244">
        <v>7.3724999999999996</v>
      </c>
    </row>
    <row r="915" spans="1:2" x14ac:dyDescent="0.25">
      <c r="A915" s="198">
        <v>42942</v>
      </c>
      <c r="B915" s="244">
        <v>7.3724999999999996</v>
      </c>
    </row>
    <row r="916" spans="1:2" x14ac:dyDescent="0.25">
      <c r="A916" s="198">
        <v>42943</v>
      </c>
      <c r="B916" s="244">
        <v>7.3762999999999996</v>
      </c>
    </row>
    <row r="917" spans="1:2" x14ac:dyDescent="0.25">
      <c r="A917" s="198">
        <v>42944</v>
      </c>
      <c r="B917" s="244">
        <v>7.3760000000000003</v>
      </c>
    </row>
    <row r="918" spans="1:2" x14ac:dyDescent="0.25">
      <c r="A918" s="198">
        <v>42947</v>
      </c>
      <c r="B918" s="244">
        <v>7.3811</v>
      </c>
    </row>
    <row r="919" spans="1:2" x14ac:dyDescent="0.25">
      <c r="A919" s="198">
        <v>42948</v>
      </c>
      <c r="B919" s="244">
        <v>7.3775000000000004</v>
      </c>
    </row>
    <row r="920" spans="1:2" x14ac:dyDescent="0.25">
      <c r="A920" s="198">
        <v>42949</v>
      </c>
      <c r="B920" s="244">
        <v>7.375</v>
      </c>
    </row>
    <row r="921" spans="1:2" x14ac:dyDescent="0.25">
      <c r="A921" s="198">
        <v>42950</v>
      </c>
      <c r="B921" s="244">
        <v>7.3715000000000002</v>
      </c>
    </row>
    <row r="922" spans="1:2" x14ac:dyDescent="0.25">
      <c r="A922" s="198">
        <v>42951</v>
      </c>
      <c r="B922" s="244">
        <v>7.3730000000000002</v>
      </c>
    </row>
    <row r="923" spans="1:2" x14ac:dyDescent="0.25">
      <c r="A923" s="198">
        <v>42954</v>
      </c>
      <c r="B923" s="244">
        <v>7.3775000000000004</v>
      </c>
    </row>
    <row r="924" spans="1:2" x14ac:dyDescent="0.25">
      <c r="A924" s="198">
        <v>42955</v>
      </c>
      <c r="B924" s="244">
        <v>7.3724999999999996</v>
      </c>
    </row>
    <row r="925" spans="1:2" x14ac:dyDescent="0.25">
      <c r="A925" s="198">
        <v>42956</v>
      </c>
      <c r="B925" s="244">
        <v>7.3780000000000001</v>
      </c>
    </row>
    <row r="926" spans="1:2" x14ac:dyDescent="0.25">
      <c r="A926" s="198">
        <v>42957</v>
      </c>
      <c r="B926" s="244">
        <v>7.3810000000000002</v>
      </c>
    </row>
    <row r="927" spans="1:2" x14ac:dyDescent="0.25">
      <c r="A927" s="198">
        <v>42958</v>
      </c>
      <c r="B927" s="244">
        <v>7.3811</v>
      </c>
    </row>
    <row r="928" spans="1:2" x14ac:dyDescent="0.25">
      <c r="A928" s="198">
        <v>42961</v>
      </c>
      <c r="B928" s="244">
        <v>7.375</v>
      </c>
    </row>
    <row r="929" spans="1:2" x14ac:dyDescent="0.25">
      <c r="A929" s="198">
        <v>42962</v>
      </c>
      <c r="B929" s="244">
        <v>7.3720999999999997</v>
      </c>
    </row>
    <row r="930" spans="1:2" x14ac:dyDescent="0.25">
      <c r="A930" s="198">
        <v>42963</v>
      </c>
      <c r="B930" s="244">
        <v>7.3784999999999998</v>
      </c>
    </row>
    <row r="931" spans="1:2" x14ac:dyDescent="0.25">
      <c r="A931" s="198">
        <v>42964</v>
      </c>
      <c r="B931" s="244">
        <v>7.3780999999999999</v>
      </c>
    </row>
    <row r="932" spans="1:2" x14ac:dyDescent="0.25">
      <c r="A932" s="198">
        <v>42965</v>
      </c>
      <c r="B932" s="244">
        <v>7.3761999999999999</v>
      </c>
    </row>
    <row r="933" spans="1:2" x14ac:dyDescent="0.25">
      <c r="A933" s="198">
        <v>42968</v>
      </c>
      <c r="B933" s="244">
        <v>7.3799000000000001</v>
      </c>
    </row>
    <row r="934" spans="1:2" x14ac:dyDescent="0.25">
      <c r="A934" s="198">
        <v>42969</v>
      </c>
      <c r="B934" s="244">
        <v>7.3775000000000004</v>
      </c>
    </row>
    <row r="935" spans="1:2" x14ac:dyDescent="0.25">
      <c r="A935" s="198">
        <v>42970</v>
      </c>
      <c r="B935" s="244">
        <v>7.375</v>
      </c>
    </row>
    <row r="936" spans="1:2" x14ac:dyDescent="0.25">
      <c r="A936" s="198">
        <v>42971</v>
      </c>
      <c r="B936" s="244">
        <v>7.3724999999999996</v>
      </c>
    </row>
    <row r="937" spans="1:2" x14ac:dyDescent="0.25">
      <c r="A937" s="198">
        <v>42972</v>
      </c>
      <c r="B937" s="244">
        <v>7.37</v>
      </c>
    </row>
    <row r="938" spans="1:2" x14ac:dyDescent="0.25">
      <c r="A938" s="198">
        <v>42975</v>
      </c>
      <c r="B938" s="244">
        <v>7.3724999999999996</v>
      </c>
    </row>
    <row r="939" spans="1:2" x14ac:dyDescent="0.25">
      <c r="A939" s="198">
        <v>42976</v>
      </c>
      <c r="B939" s="244">
        <v>7.3708999999999998</v>
      </c>
    </row>
    <row r="940" spans="1:2" x14ac:dyDescent="0.25">
      <c r="A940" s="198">
        <v>42977</v>
      </c>
      <c r="B940" s="244">
        <v>7.3708</v>
      </c>
    </row>
    <row r="941" spans="1:2" x14ac:dyDescent="0.25">
      <c r="A941" s="198">
        <v>42978</v>
      </c>
      <c r="B941" s="244">
        <v>7.3825000000000003</v>
      </c>
    </row>
    <row r="942" spans="1:2" x14ac:dyDescent="0.25">
      <c r="A942" s="198">
        <v>42979</v>
      </c>
      <c r="B942" s="244">
        <v>7.3780000000000001</v>
      </c>
    </row>
    <row r="943" spans="1:2" x14ac:dyDescent="0.25">
      <c r="A943" s="198">
        <v>42982</v>
      </c>
      <c r="B943" s="244">
        <v>7.3768000000000002</v>
      </c>
    </row>
    <row r="944" spans="1:2" x14ac:dyDescent="0.25">
      <c r="A944" s="198">
        <v>42983</v>
      </c>
      <c r="B944" s="244">
        <v>7.3724999999999996</v>
      </c>
    </row>
    <row r="945" spans="1:2" x14ac:dyDescent="0.25">
      <c r="A945" s="198">
        <v>42984</v>
      </c>
      <c r="B945" s="244">
        <v>7.3726000000000003</v>
      </c>
    </row>
    <row r="946" spans="1:2" x14ac:dyDescent="0.25">
      <c r="A946" s="198">
        <v>42985</v>
      </c>
      <c r="B946" s="244">
        <v>7.3775000000000004</v>
      </c>
    </row>
    <row r="947" spans="1:2" x14ac:dyDescent="0.25">
      <c r="A947" s="198">
        <v>42986</v>
      </c>
      <c r="B947" s="244">
        <v>7.3689999999999998</v>
      </c>
    </row>
    <row r="948" spans="1:2" x14ac:dyDescent="0.25">
      <c r="A948" s="198">
        <v>42989</v>
      </c>
      <c r="B948" s="244">
        <v>7.375</v>
      </c>
    </row>
    <row r="949" spans="1:2" x14ac:dyDescent="0.25">
      <c r="A949" s="198">
        <v>42990</v>
      </c>
      <c r="B949" s="244">
        <v>7.3724999999999996</v>
      </c>
    </row>
    <row r="950" spans="1:2" x14ac:dyDescent="0.25">
      <c r="A950" s="198">
        <v>42991</v>
      </c>
      <c r="B950" s="244">
        <v>7.375</v>
      </c>
    </row>
    <row r="951" spans="1:2" x14ac:dyDescent="0.25">
      <c r="A951" s="198">
        <v>42992</v>
      </c>
      <c r="B951" s="244">
        <v>7.37</v>
      </c>
    </row>
    <row r="952" spans="1:2" x14ac:dyDescent="0.25">
      <c r="A952" s="198">
        <v>42993</v>
      </c>
      <c r="B952" s="244">
        <v>7.3765000000000001</v>
      </c>
    </row>
    <row r="953" spans="1:2" x14ac:dyDescent="0.25">
      <c r="A953" s="198">
        <v>42996</v>
      </c>
      <c r="B953" s="244">
        <v>7.375</v>
      </c>
    </row>
    <row r="954" spans="1:2" x14ac:dyDescent="0.25">
      <c r="A954" s="198">
        <v>42997</v>
      </c>
      <c r="B954" s="244">
        <v>7.3760000000000003</v>
      </c>
    </row>
    <row r="955" spans="1:2" x14ac:dyDescent="0.25">
      <c r="A955" s="198">
        <v>42998</v>
      </c>
      <c r="B955" s="244">
        <v>7.3775000000000004</v>
      </c>
    </row>
    <row r="956" spans="1:2" x14ac:dyDescent="0.25">
      <c r="A956" s="198">
        <v>42999</v>
      </c>
      <c r="B956" s="244">
        <v>7.3800999999999997</v>
      </c>
    </row>
    <row r="957" spans="1:2" x14ac:dyDescent="0.25">
      <c r="A957" s="198">
        <v>43000</v>
      </c>
      <c r="B957" s="244">
        <v>7.3766999999999996</v>
      </c>
    </row>
    <row r="958" spans="1:2" x14ac:dyDescent="0.25">
      <c r="A958" s="198">
        <v>43003</v>
      </c>
      <c r="B958" s="244">
        <v>7.3818000000000001</v>
      </c>
    </row>
    <row r="959" spans="1:2" x14ac:dyDescent="0.25">
      <c r="A959" s="198">
        <v>43004</v>
      </c>
      <c r="B959" s="244">
        <v>7.3784000000000001</v>
      </c>
    </row>
    <row r="960" spans="1:2" x14ac:dyDescent="0.25">
      <c r="A960" s="198">
        <v>43005</v>
      </c>
      <c r="B960" s="244">
        <v>7.3849999999999998</v>
      </c>
    </row>
    <row r="961" spans="1:2" x14ac:dyDescent="0.25">
      <c r="A961" s="198">
        <v>43006</v>
      </c>
      <c r="B961" s="244">
        <v>7.38</v>
      </c>
    </row>
    <row r="962" spans="1:2" x14ac:dyDescent="0.25">
      <c r="A962" s="198">
        <v>43007</v>
      </c>
      <c r="B962" s="244">
        <v>7.3794000000000004</v>
      </c>
    </row>
    <row r="963" spans="1:2" x14ac:dyDescent="0.25">
      <c r="A963" s="198">
        <v>43010</v>
      </c>
      <c r="B963" s="244">
        <v>7.3724999999999996</v>
      </c>
    </row>
    <row r="964" spans="1:2" x14ac:dyDescent="0.25">
      <c r="A964" s="198">
        <v>43011</v>
      </c>
      <c r="B964" s="244">
        <v>7.3724999999999996</v>
      </c>
    </row>
    <row r="965" spans="1:2" x14ac:dyDescent="0.25">
      <c r="A965" s="198">
        <v>43012</v>
      </c>
      <c r="B965" s="244">
        <v>7.3674999999999997</v>
      </c>
    </row>
    <row r="966" spans="1:2" x14ac:dyDescent="0.25">
      <c r="A966" s="198">
        <v>43013</v>
      </c>
      <c r="B966" s="244">
        <v>7.3761999999999999</v>
      </c>
    </row>
    <row r="967" spans="1:2" x14ac:dyDescent="0.25">
      <c r="A967" s="198">
        <v>43014</v>
      </c>
      <c r="B967" s="244">
        <v>7.3757000000000001</v>
      </c>
    </row>
    <row r="968" spans="1:2" x14ac:dyDescent="0.25">
      <c r="A968" s="198">
        <v>43017</v>
      </c>
      <c r="B968" s="244">
        <v>7.3754999999999997</v>
      </c>
    </row>
    <row r="969" spans="1:2" x14ac:dyDescent="0.25">
      <c r="A969" s="198">
        <v>43018</v>
      </c>
      <c r="B969" s="244">
        <v>7.3773</v>
      </c>
    </row>
    <row r="970" spans="1:2" x14ac:dyDescent="0.25">
      <c r="A970" s="198">
        <v>43019</v>
      </c>
      <c r="B970" s="244">
        <v>7.3798000000000004</v>
      </c>
    </row>
    <row r="971" spans="1:2" x14ac:dyDescent="0.25">
      <c r="A971" s="198">
        <v>43020</v>
      </c>
      <c r="B971" s="244">
        <v>7.3819999999999997</v>
      </c>
    </row>
    <row r="972" spans="1:2" x14ac:dyDescent="0.25">
      <c r="A972" s="198">
        <v>43021</v>
      </c>
      <c r="B972" s="244">
        <v>7.3865999999999996</v>
      </c>
    </row>
    <row r="973" spans="1:2" x14ac:dyDescent="0.25">
      <c r="A973" s="198">
        <v>43024</v>
      </c>
      <c r="B973" s="244">
        <v>7.38</v>
      </c>
    </row>
    <row r="974" spans="1:2" x14ac:dyDescent="0.25">
      <c r="A974" s="198">
        <v>43025</v>
      </c>
      <c r="B974" s="244">
        <v>7.3765000000000001</v>
      </c>
    </row>
    <row r="975" spans="1:2" x14ac:dyDescent="0.25">
      <c r="A975" s="198">
        <v>43026</v>
      </c>
      <c r="B975" s="244">
        <v>7.3825000000000003</v>
      </c>
    </row>
    <row r="976" spans="1:2" x14ac:dyDescent="0.25">
      <c r="A976" s="198">
        <v>43027</v>
      </c>
      <c r="B976" s="244">
        <v>7.3875000000000002</v>
      </c>
    </row>
    <row r="977" spans="1:2" x14ac:dyDescent="0.25">
      <c r="A977" s="198">
        <v>43028</v>
      </c>
      <c r="B977" s="244">
        <v>7.3849999999999998</v>
      </c>
    </row>
    <row r="978" spans="1:2" x14ac:dyDescent="0.25">
      <c r="A978" s="198">
        <v>43031</v>
      </c>
      <c r="B978" s="244">
        <v>7.3849999999999998</v>
      </c>
    </row>
    <row r="979" spans="1:2" x14ac:dyDescent="0.25">
      <c r="A979" s="198">
        <v>43032</v>
      </c>
      <c r="B979" s="244">
        <v>7.3762999999999996</v>
      </c>
    </row>
    <row r="980" spans="1:2" x14ac:dyDescent="0.25">
      <c r="A980" s="198">
        <v>43033</v>
      </c>
      <c r="B980" s="244">
        <v>7.3804999999999996</v>
      </c>
    </row>
    <row r="981" spans="1:2" x14ac:dyDescent="0.25">
      <c r="A981" s="198">
        <v>43034</v>
      </c>
      <c r="B981" s="244">
        <v>7.3836000000000004</v>
      </c>
    </row>
    <row r="982" spans="1:2" x14ac:dyDescent="0.25">
      <c r="A982" s="198">
        <v>43035</v>
      </c>
      <c r="B982" s="244">
        <v>7.38</v>
      </c>
    </row>
    <row r="983" spans="1:2" x14ac:dyDescent="0.25">
      <c r="A983" s="198">
        <v>43038</v>
      </c>
      <c r="B983" s="244">
        <v>7.3724999999999996</v>
      </c>
    </row>
    <row r="984" spans="1:2" x14ac:dyDescent="0.25">
      <c r="A984" s="198">
        <v>43039</v>
      </c>
      <c r="B984" s="244">
        <v>7.3825000000000003</v>
      </c>
    </row>
    <row r="985" spans="1:2" x14ac:dyDescent="0.25">
      <c r="A985" s="198">
        <v>43040</v>
      </c>
      <c r="B985" s="244">
        <v>7.375</v>
      </c>
    </row>
    <row r="986" spans="1:2" x14ac:dyDescent="0.25">
      <c r="A986" s="198">
        <v>43042</v>
      </c>
      <c r="B986" s="244">
        <v>7.3743999999999996</v>
      </c>
    </row>
    <row r="987" spans="1:2" x14ac:dyDescent="0.25">
      <c r="A987" s="198">
        <v>43045</v>
      </c>
      <c r="B987" s="244">
        <v>7.3798000000000004</v>
      </c>
    </row>
    <row r="988" spans="1:2" x14ac:dyDescent="0.25">
      <c r="A988" s="198">
        <v>43046</v>
      </c>
      <c r="B988" s="244">
        <v>7.3830999999999998</v>
      </c>
    </row>
    <row r="989" spans="1:2" x14ac:dyDescent="0.25">
      <c r="A989" s="198">
        <v>43047</v>
      </c>
      <c r="B989" s="244">
        <v>7.3775000000000004</v>
      </c>
    </row>
    <row r="990" spans="1:2" x14ac:dyDescent="0.25">
      <c r="A990" s="198">
        <v>43048</v>
      </c>
      <c r="B990" s="244">
        <v>7.3837999999999999</v>
      </c>
    </row>
    <row r="991" spans="1:2" x14ac:dyDescent="0.25">
      <c r="A991" s="198">
        <v>43049</v>
      </c>
      <c r="B991" s="244">
        <v>7.3834</v>
      </c>
    </row>
    <row r="992" spans="1:2" x14ac:dyDescent="0.25">
      <c r="A992" s="198">
        <v>43052</v>
      </c>
      <c r="B992" s="244">
        <v>7.3825000000000003</v>
      </c>
    </row>
    <row r="993" spans="1:2" x14ac:dyDescent="0.25">
      <c r="A993" s="198">
        <v>43053</v>
      </c>
      <c r="B993" s="244">
        <v>7.3769999999999998</v>
      </c>
    </row>
    <row r="994" spans="1:2" x14ac:dyDescent="0.25">
      <c r="A994" s="198">
        <v>43054</v>
      </c>
      <c r="B994" s="244">
        <v>7.38</v>
      </c>
    </row>
    <row r="995" spans="1:2" x14ac:dyDescent="0.25">
      <c r="A995" s="198">
        <v>43055</v>
      </c>
      <c r="B995" s="244">
        <v>7.3806000000000003</v>
      </c>
    </row>
    <row r="996" spans="1:2" x14ac:dyDescent="0.25">
      <c r="A996" s="198">
        <v>43056</v>
      </c>
      <c r="B996" s="244">
        <v>7.3795999999999999</v>
      </c>
    </row>
    <row r="997" spans="1:2" x14ac:dyDescent="0.25">
      <c r="A997" s="198">
        <v>43060</v>
      </c>
      <c r="B997" s="244">
        <v>7.3766999999999996</v>
      </c>
    </row>
    <row r="998" spans="1:2" x14ac:dyDescent="0.25">
      <c r="A998" s="198">
        <v>43061</v>
      </c>
      <c r="B998" s="244">
        <v>7.3734999999999999</v>
      </c>
    </row>
    <row r="999" spans="1:2" x14ac:dyDescent="0.25">
      <c r="A999" s="198">
        <v>43062</v>
      </c>
      <c r="B999" s="244">
        <v>7.3714000000000004</v>
      </c>
    </row>
    <row r="1000" spans="1:2" x14ac:dyDescent="0.25">
      <c r="A1000" s="198">
        <v>43063</v>
      </c>
      <c r="B1000" s="244">
        <v>7.3832000000000004</v>
      </c>
    </row>
    <row r="1001" spans="1:2" x14ac:dyDescent="0.25">
      <c r="A1001" s="198">
        <v>43066</v>
      </c>
      <c r="B1001" s="244">
        <v>7.3825000000000003</v>
      </c>
    </row>
    <row r="1002" spans="1:2" x14ac:dyDescent="0.25">
      <c r="A1002" s="198">
        <v>43067</v>
      </c>
      <c r="B1002" s="244">
        <v>7.3823999999999996</v>
      </c>
    </row>
    <row r="1003" spans="1:2" x14ac:dyDescent="0.25">
      <c r="A1003" s="198">
        <v>43068</v>
      </c>
      <c r="B1003" s="244">
        <v>7.3825000000000003</v>
      </c>
    </row>
    <row r="1004" spans="1:2" x14ac:dyDescent="0.25">
      <c r="A1004" s="198">
        <v>43069</v>
      </c>
      <c r="B1004" s="244">
        <v>7.3875000000000002</v>
      </c>
    </row>
    <row r="1005" spans="1:2" x14ac:dyDescent="0.25">
      <c r="A1005" s="198">
        <v>43070</v>
      </c>
      <c r="B1005" s="244">
        <v>7.3910999999999998</v>
      </c>
    </row>
    <row r="1006" spans="1:2" x14ac:dyDescent="0.25">
      <c r="A1006" s="198">
        <v>43073</v>
      </c>
      <c r="B1006" s="244">
        <v>7.3855000000000004</v>
      </c>
    </row>
    <row r="1007" spans="1:2" x14ac:dyDescent="0.25">
      <c r="A1007" s="198">
        <v>43074</v>
      </c>
      <c r="B1007" s="244">
        <v>7.3879999999999999</v>
      </c>
    </row>
    <row r="1008" spans="1:2" x14ac:dyDescent="0.25">
      <c r="A1008" s="198">
        <v>43075</v>
      </c>
      <c r="B1008" s="244">
        <v>7.3875000000000002</v>
      </c>
    </row>
    <row r="1009" spans="1:2" x14ac:dyDescent="0.25">
      <c r="A1009" s="198">
        <v>43076</v>
      </c>
      <c r="B1009" s="244">
        <v>7.3925000000000001</v>
      </c>
    </row>
    <row r="1010" spans="1:2" x14ac:dyDescent="0.25">
      <c r="A1010" s="198">
        <v>43077</v>
      </c>
      <c r="B1010" s="244">
        <v>7.3916000000000004</v>
      </c>
    </row>
    <row r="1011" spans="1:2" x14ac:dyDescent="0.25">
      <c r="A1011" s="198">
        <v>43080</v>
      </c>
      <c r="B1011" s="244">
        <v>7.4009999999999998</v>
      </c>
    </row>
    <row r="1012" spans="1:2" x14ac:dyDescent="0.25">
      <c r="A1012" s="198">
        <v>43082</v>
      </c>
      <c r="B1012" s="244">
        <v>7.4275000000000002</v>
      </c>
    </row>
    <row r="1013" spans="1:2" x14ac:dyDescent="0.25">
      <c r="A1013" s="198">
        <v>43083</v>
      </c>
      <c r="B1013" s="244">
        <v>7.45</v>
      </c>
    </row>
    <row r="1014" spans="1:2" x14ac:dyDescent="0.25">
      <c r="A1014" s="198">
        <v>43084</v>
      </c>
      <c r="B1014" s="244">
        <v>7.46</v>
      </c>
    </row>
    <row r="1015" spans="1:2" x14ac:dyDescent="0.25">
      <c r="A1015" s="198">
        <v>43087</v>
      </c>
      <c r="B1015" s="244">
        <v>7.5949999999999998</v>
      </c>
    </row>
    <row r="1016" spans="1:2" x14ac:dyDescent="0.25">
      <c r="A1016" s="198">
        <v>43088</v>
      </c>
      <c r="B1016" s="244">
        <v>7.6003999999999996</v>
      </c>
    </row>
    <row r="1017" spans="1:2" x14ac:dyDescent="0.25">
      <c r="A1017" s="198">
        <v>43089</v>
      </c>
      <c r="B1017" s="244">
        <v>7.6069000000000004</v>
      </c>
    </row>
    <row r="1018" spans="1:2" x14ac:dyDescent="0.25">
      <c r="A1018" s="198">
        <v>43090</v>
      </c>
      <c r="B1018" s="244">
        <v>7.6109</v>
      </c>
    </row>
    <row r="1019" spans="1:2" x14ac:dyDescent="0.25">
      <c r="A1019" s="198">
        <v>43091</v>
      </c>
      <c r="B1019" s="244">
        <v>7.6177000000000001</v>
      </c>
    </row>
    <row r="1020" spans="1:2" x14ac:dyDescent="0.25">
      <c r="A1020" s="198">
        <v>43095</v>
      </c>
      <c r="B1020" s="244">
        <v>7.6210000000000004</v>
      </c>
    </row>
    <row r="1021" spans="1:2" x14ac:dyDescent="0.25">
      <c r="A1021" s="198">
        <v>43096</v>
      </c>
      <c r="B1021" s="244">
        <v>7.6239999999999997</v>
      </c>
    </row>
    <row r="1022" spans="1:2" x14ac:dyDescent="0.25">
      <c r="A1022" s="198">
        <v>43097</v>
      </c>
      <c r="B1022" s="244">
        <v>7.625</v>
      </c>
    </row>
    <row r="1023" spans="1:2" x14ac:dyDescent="0.25">
      <c r="A1023" s="198">
        <v>43098</v>
      </c>
      <c r="B1023" s="244">
        <v>7.6241000000000003</v>
      </c>
    </row>
    <row r="1024" spans="1:2" x14ac:dyDescent="0.25">
      <c r="A1024" s="198">
        <v>43102</v>
      </c>
      <c r="B1024" s="244">
        <v>7.6311</v>
      </c>
    </row>
    <row r="1025" spans="1:2" x14ac:dyDescent="0.25">
      <c r="A1025" s="198">
        <v>43103</v>
      </c>
      <c r="B1025" s="244">
        <v>7.6275000000000004</v>
      </c>
    </row>
    <row r="1026" spans="1:2" x14ac:dyDescent="0.25">
      <c r="A1026" s="198">
        <v>43104</v>
      </c>
      <c r="B1026" s="244">
        <v>7.625</v>
      </c>
    </row>
    <row r="1027" spans="1:2" x14ac:dyDescent="0.25">
      <c r="A1027" s="198">
        <v>43105</v>
      </c>
      <c r="B1027" s="244">
        <v>7.625</v>
      </c>
    </row>
    <row r="1028" spans="1:2" x14ac:dyDescent="0.25">
      <c r="A1028" s="198">
        <v>43108</v>
      </c>
      <c r="B1028" s="244">
        <v>7.6292</v>
      </c>
    </row>
    <row r="1029" spans="1:2" x14ac:dyDescent="0.25">
      <c r="A1029" s="198">
        <v>43109</v>
      </c>
      <c r="B1029" s="244">
        <v>7.6281999999999996</v>
      </c>
    </row>
    <row r="1030" spans="1:2" x14ac:dyDescent="0.25">
      <c r="A1030" s="198">
        <v>43110</v>
      </c>
      <c r="B1030" s="244">
        <v>7.63</v>
      </c>
    </row>
    <row r="1031" spans="1:2" x14ac:dyDescent="0.25">
      <c r="A1031" s="198">
        <v>43111</v>
      </c>
      <c r="B1031" s="244">
        <v>7.6298000000000004</v>
      </c>
    </row>
    <row r="1032" spans="1:2" x14ac:dyDescent="0.25">
      <c r="A1032" s="198">
        <v>43112</v>
      </c>
      <c r="B1032" s="244">
        <v>7.6299000000000001</v>
      </c>
    </row>
    <row r="1033" spans="1:2" x14ac:dyDescent="0.25">
      <c r="A1033" s="198">
        <v>43115</v>
      </c>
      <c r="B1033" s="244">
        <v>7.6325000000000003</v>
      </c>
    </row>
    <row r="1034" spans="1:2" x14ac:dyDescent="0.25">
      <c r="A1034" s="198">
        <v>43116</v>
      </c>
      <c r="B1034" s="244">
        <v>7.6342999999999996</v>
      </c>
    </row>
    <row r="1035" spans="1:2" x14ac:dyDescent="0.25">
      <c r="A1035" s="198">
        <v>43117</v>
      </c>
      <c r="B1035" s="244">
        <v>7.6287000000000003</v>
      </c>
    </row>
    <row r="1036" spans="1:2" x14ac:dyDescent="0.25">
      <c r="A1036" s="198">
        <v>43118</v>
      </c>
      <c r="B1036" s="244">
        <v>7.6334</v>
      </c>
    </row>
    <row r="1037" spans="1:2" x14ac:dyDescent="0.25">
      <c r="A1037" s="198">
        <v>43119</v>
      </c>
      <c r="B1037" s="244">
        <v>7.6318000000000001</v>
      </c>
    </row>
    <row r="1038" spans="1:2" x14ac:dyDescent="0.25">
      <c r="A1038" s="198">
        <v>43122</v>
      </c>
      <c r="B1038" s="244">
        <v>7.6349999999999998</v>
      </c>
    </row>
    <row r="1039" spans="1:2" x14ac:dyDescent="0.25">
      <c r="A1039" s="198">
        <v>43123</v>
      </c>
      <c r="B1039" s="244">
        <v>7.6428000000000003</v>
      </c>
    </row>
    <row r="1040" spans="1:2" x14ac:dyDescent="0.25">
      <c r="A1040" s="198">
        <v>43124</v>
      </c>
      <c r="B1040" s="244">
        <v>7.6449999999999996</v>
      </c>
    </row>
    <row r="1041" spans="1:2" x14ac:dyDescent="0.25">
      <c r="A1041" s="198">
        <v>43125</v>
      </c>
      <c r="B1041" s="244">
        <v>7.6475</v>
      </c>
    </row>
    <row r="1042" spans="1:2" x14ac:dyDescent="0.25">
      <c r="A1042" s="198">
        <v>43126</v>
      </c>
      <c r="B1042" s="244">
        <v>7.6440999999999999</v>
      </c>
    </row>
    <row r="1043" spans="1:2" x14ac:dyDescent="0.25">
      <c r="A1043" s="198">
        <v>43129</v>
      </c>
      <c r="B1043" s="244">
        <v>7.6449999999999996</v>
      </c>
    </row>
    <row r="1044" spans="1:2" x14ac:dyDescent="0.25">
      <c r="A1044" s="198">
        <v>43130</v>
      </c>
      <c r="B1044" s="244">
        <v>7.6550000000000002</v>
      </c>
    </row>
    <row r="1045" spans="1:2" x14ac:dyDescent="0.25">
      <c r="A1045" s="198">
        <v>43131</v>
      </c>
      <c r="B1045" s="244">
        <v>7.6624999999999996</v>
      </c>
    </row>
    <row r="1046" spans="1:2" x14ac:dyDescent="0.25">
      <c r="A1046" s="198">
        <v>43132</v>
      </c>
      <c r="B1046" s="244">
        <v>7.66</v>
      </c>
    </row>
    <row r="1047" spans="1:2" x14ac:dyDescent="0.25">
      <c r="A1047" s="198">
        <v>43133</v>
      </c>
      <c r="B1047" s="244">
        <v>7.6642999999999999</v>
      </c>
    </row>
    <row r="1048" spans="1:2" x14ac:dyDescent="0.25">
      <c r="A1048" s="198">
        <v>43137</v>
      </c>
      <c r="B1048" s="244">
        <v>7.665</v>
      </c>
    </row>
    <row r="1049" spans="1:2" x14ac:dyDescent="0.25">
      <c r="A1049" s="198">
        <v>43138</v>
      </c>
      <c r="B1049" s="244">
        <v>7.6749999999999998</v>
      </c>
    </row>
    <row r="1050" spans="1:2" x14ac:dyDescent="0.25">
      <c r="A1050" s="198">
        <v>43139</v>
      </c>
      <c r="B1050" s="244">
        <v>7.6862000000000004</v>
      </c>
    </row>
    <row r="1051" spans="1:2" x14ac:dyDescent="0.25">
      <c r="A1051" s="198">
        <v>43140</v>
      </c>
      <c r="B1051" s="244">
        <v>7.7055999999999996</v>
      </c>
    </row>
    <row r="1052" spans="1:2" x14ac:dyDescent="0.25">
      <c r="A1052" s="198">
        <v>43143</v>
      </c>
      <c r="B1052" s="244">
        <v>7.84</v>
      </c>
    </row>
    <row r="1053" spans="1:2" x14ac:dyDescent="0.25">
      <c r="A1053" s="198">
        <v>43144</v>
      </c>
      <c r="B1053" s="244">
        <v>7.84</v>
      </c>
    </row>
    <row r="1054" spans="1:2" x14ac:dyDescent="0.25">
      <c r="A1054" s="198">
        <v>43145</v>
      </c>
      <c r="B1054" s="244">
        <v>7.8319999999999999</v>
      </c>
    </row>
    <row r="1055" spans="1:2" x14ac:dyDescent="0.25">
      <c r="A1055" s="198">
        <v>43146</v>
      </c>
      <c r="B1055" s="244">
        <v>7.835</v>
      </c>
    </row>
    <row r="1056" spans="1:2" x14ac:dyDescent="0.25">
      <c r="A1056" s="198">
        <v>43147</v>
      </c>
      <c r="B1056" s="244">
        <v>7.8324999999999996</v>
      </c>
    </row>
    <row r="1057" spans="1:2" x14ac:dyDescent="0.25">
      <c r="A1057" s="198">
        <v>43150</v>
      </c>
      <c r="B1057" s="244">
        <v>7.8250000000000002</v>
      </c>
    </row>
    <row r="1058" spans="1:2" x14ac:dyDescent="0.25">
      <c r="A1058" s="198">
        <v>43151</v>
      </c>
      <c r="B1058" s="244">
        <v>7.8125</v>
      </c>
    </row>
    <row r="1059" spans="1:2" x14ac:dyDescent="0.25">
      <c r="A1059" s="198">
        <v>43152</v>
      </c>
      <c r="B1059" s="244">
        <v>7.8311999999999999</v>
      </c>
    </row>
    <row r="1060" spans="1:2" x14ac:dyDescent="0.25">
      <c r="A1060" s="198">
        <v>43153</v>
      </c>
      <c r="B1060" s="244">
        <v>7.83</v>
      </c>
    </row>
    <row r="1061" spans="1:2" x14ac:dyDescent="0.25">
      <c r="A1061" s="198">
        <v>43154</v>
      </c>
      <c r="B1061" s="244">
        <v>7.8324999999999996</v>
      </c>
    </row>
    <row r="1062" spans="1:2" x14ac:dyDescent="0.25">
      <c r="A1062" s="198">
        <v>43157</v>
      </c>
      <c r="B1062" s="244">
        <v>7.8250000000000002</v>
      </c>
    </row>
    <row r="1063" spans="1:2" x14ac:dyDescent="0.25">
      <c r="A1063" s="198">
        <v>43158</v>
      </c>
      <c r="B1063" s="244">
        <v>7.8331</v>
      </c>
    </row>
    <row r="1064" spans="1:2" x14ac:dyDescent="0.25">
      <c r="A1064" s="198">
        <v>43159</v>
      </c>
      <c r="B1064" s="244">
        <v>7.8315000000000001</v>
      </c>
    </row>
    <row r="1065" spans="1:2" x14ac:dyDescent="0.25">
      <c r="A1065" s="198">
        <v>43160</v>
      </c>
      <c r="B1065" s="244">
        <v>7.8293999999999997</v>
      </c>
    </row>
    <row r="1066" spans="1:2" x14ac:dyDescent="0.25">
      <c r="A1066" s="198">
        <v>43161</v>
      </c>
      <c r="B1066" s="244">
        <v>7.8243999999999998</v>
      </c>
    </row>
    <row r="1067" spans="1:2" x14ac:dyDescent="0.25">
      <c r="A1067" s="198">
        <v>43164</v>
      </c>
      <c r="B1067" s="244">
        <v>7.8315999999999999</v>
      </c>
    </row>
    <row r="1068" spans="1:2" x14ac:dyDescent="0.25">
      <c r="A1068" s="198">
        <v>43165</v>
      </c>
      <c r="B1068" s="244">
        <v>7.8224999999999998</v>
      </c>
    </row>
    <row r="1069" spans="1:2" x14ac:dyDescent="0.25">
      <c r="A1069" s="198">
        <v>43166</v>
      </c>
      <c r="B1069" s="244">
        <v>7.8299000000000003</v>
      </c>
    </row>
    <row r="1070" spans="1:2" x14ac:dyDescent="0.25">
      <c r="A1070" s="198">
        <v>43167</v>
      </c>
      <c r="B1070" s="244">
        <v>7.83</v>
      </c>
    </row>
    <row r="1071" spans="1:2" x14ac:dyDescent="0.25">
      <c r="A1071" s="198">
        <v>43168</v>
      </c>
      <c r="B1071" s="244">
        <v>7.8395999999999999</v>
      </c>
    </row>
    <row r="1072" spans="1:2" x14ac:dyDescent="0.25">
      <c r="A1072" s="198">
        <v>43171</v>
      </c>
      <c r="B1072" s="244">
        <v>7.8395000000000001</v>
      </c>
    </row>
    <row r="1073" spans="1:2" x14ac:dyDescent="0.25">
      <c r="A1073" s="198">
        <v>43172</v>
      </c>
      <c r="B1073" s="244">
        <v>7.8250000000000002</v>
      </c>
    </row>
    <row r="1074" spans="1:2" x14ac:dyDescent="0.25">
      <c r="A1074" s="198">
        <v>43173</v>
      </c>
      <c r="B1074" s="244">
        <v>7.83</v>
      </c>
    </row>
    <row r="1075" spans="1:2" x14ac:dyDescent="0.25">
      <c r="A1075" s="198">
        <v>43174</v>
      </c>
      <c r="B1075" s="244">
        <v>7.83</v>
      </c>
    </row>
    <row r="1076" spans="1:2" x14ac:dyDescent="0.25">
      <c r="A1076" s="198">
        <v>43175</v>
      </c>
      <c r="B1076" s="244">
        <v>7.8250000000000002</v>
      </c>
    </row>
    <row r="1077" spans="1:2" x14ac:dyDescent="0.25">
      <c r="A1077" s="198">
        <v>43179</v>
      </c>
      <c r="B1077" s="244">
        <v>7.8324999999999996</v>
      </c>
    </row>
    <row r="1078" spans="1:2" x14ac:dyDescent="0.25">
      <c r="A1078" s="198">
        <v>43180</v>
      </c>
      <c r="B1078" s="244">
        <v>7.8381999999999996</v>
      </c>
    </row>
    <row r="1079" spans="1:2" x14ac:dyDescent="0.25">
      <c r="A1079" s="198">
        <v>43181</v>
      </c>
      <c r="B1079" s="244">
        <v>7.8414000000000001</v>
      </c>
    </row>
    <row r="1080" spans="1:2" x14ac:dyDescent="0.25">
      <c r="A1080" s="198">
        <v>43182</v>
      </c>
      <c r="B1080" s="244">
        <v>7.8425000000000002</v>
      </c>
    </row>
    <row r="1081" spans="1:2" x14ac:dyDescent="0.25">
      <c r="A1081" s="198">
        <v>43185</v>
      </c>
      <c r="B1081" s="244">
        <v>7.8425000000000002</v>
      </c>
    </row>
    <row r="1082" spans="1:2" x14ac:dyDescent="0.25">
      <c r="A1082" s="198">
        <v>43186</v>
      </c>
      <c r="B1082" s="244">
        <v>7.8463000000000003</v>
      </c>
    </row>
    <row r="1083" spans="1:2" x14ac:dyDescent="0.25">
      <c r="A1083" s="198">
        <v>43187</v>
      </c>
      <c r="B1083" s="244">
        <v>7.8483000000000001</v>
      </c>
    </row>
    <row r="1084" spans="1:2" x14ac:dyDescent="0.25">
      <c r="A1084" s="198">
        <v>43192</v>
      </c>
      <c r="B1084" s="244">
        <v>7.8502999999999998</v>
      </c>
    </row>
    <row r="1085" spans="1:2" x14ac:dyDescent="0.25">
      <c r="A1085" s="198">
        <v>43193</v>
      </c>
      <c r="B1085" s="244">
        <v>7.8493000000000004</v>
      </c>
    </row>
    <row r="1086" spans="1:2" x14ac:dyDescent="0.25">
      <c r="A1086" s="198">
        <v>43194</v>
      </c>
      <c r="B1086" s="244">
        <v>7.8475000000000001</v>
      </c>
    </row>
    <row r="1087" spans="1:2" x14ac:dyDescent="0.25">
      <c r="A1087" s="198">
        <v>43195</v>
      </c>
      <c r="B1087" s="244">
        <v>7.8445</v>
      </c>
    </row>
    <row r="1088" spans="1:2" x14ac:dyDescent="0.25">
      <c r="A1088" s="198">
        <v>43196</v>
      </c>
      <c r="B1088" s="244">
        <v>7.8525</v>
      </c>
    </row>
    <row r="1089" spans="1:2" x14ac:dyDescent="0.25">
      <c r="A1089" s="198">
        <v>43199</v>
      </c>
      <c r="B1089" s="244">
        <v>7.8441000000000001</v>
      </c>
    </row>
    <row r="1090" spans="1:2" x14ac:dyDescent="0.25">
      <c r="A1090" s="198">
        <v>43200</v>
      </c>
      <c r="B1090" s="244">
        <v>7.8460000000000001</v>
      </c>
    </row>
    <row r="1091" spans="1:2" x14ac:dyDescent="0.25">
      <c r="A1091" s="198">
        <v>43201</v>
      </c>
      <c r="B1091" s="244">
        <v>7.8407</v>
      </c>
    </row>
    <row r="1092" spans="1:2" x14ac:dyDescent="0.25">
      <c r="A1092" s="198">
        <v>43202</v>
      </c>
      <c r="B1092" s="244">
        <v>7.8376000000000001</v>
      </c>
    </row>
    <row r="1093" spans="1:2" x14ac:dyDescent="0.25">
      <c r="A1093" s="198">
        <v>43203</v>
      </c>
      <c r="B1093" s="244">
        <v>7.8445</v>
      </c>
    </row>
    <row r="1094" spans="1:2" x14ac:dyDescent="0.25">
      <c r="A1094" s="198">
        <v>43206</v>
      </c>
      <c r="B1094" s="244">
        <v>7.8403999999999998</v>
      </c>
    </row>
    <row r="1095" spans="1:2" x14ac:dyDescent="0.25">
      <c r="A1095" s="198">
        <v>43207</v>
      </c>
      <c r="B1095" s="244">
        <v>7.8456000000000001</v>
      </c>
    </row>
    <row r="1096" spans="1:2" x14ac:dyDescent="0.25">
      <c r="A1096" s="198">
        <v>43208</v>
      </c>
      <c r="B1096" s="244">
        <v>7.835</v>
      </c>
    </row>
    <row r="1097" spans="1:2" x14ac:dyDescent="0.25">
      <c r="A1097" s="198">
        <v>43209</v>
      </c>
      <c r="B1097" s="244">
        <v>7.835</v>
      </c>
    </row>
    <row r="1098" spans="1:2" x14ac:dyDescent="0.25">
      <c r="A1098" s="198">
        <v>43210</v>
      </c>
      <c r="B1098" s="244">
        <v>7.8254000000000001</v>
      </c>
    </row>
    <row r="1099" spans="1:2" x14ac:dyDescent="0.25">
      <c r="A1099" s="198">
        <v>43213</v>
      </c>
      <c r="B1099" s="244">
        <v>7.8303000000000003</v>
      </c>
    </row>
    <row r="1100" spans="1:2" x14ac:dyDescent="0.25">
      <c r="A1100" s="198">
        <v>43214</v>
      </c>
      <c r="B1100" s="244">
        <v>7.8250000000000002</v>
      </c>
    </row>
    <row r="1101" spans="1:2" x14ac:dyDescent="0.25">
      <c r="A1101" s="198">
        <v>43215</v>
      </c>
      <c r="B1101" s="244">
        <v>7.8324999999999996</v>
      </c>
    </row>
    <row r="1102" spans="1:2" x14ac:dyDescent="0.25">
      <c r="A1102" s="198">
        <v>43216</v>
      </c>
      <c r="B1102" s="244">
        <v>7.8375000000000004</v>
      </c>
    </row>
    <row r="1103" spans="1:2" x14ac:dyDescent="0.25">
      <c r="A1103" s="198">
        <v>43217</v>
      </c>
      <c r="B1103" s="244">
        <v>7.8404999999999996</v>
      </c>
    </row>
    <row r="1104" spans="1:2" x14ac:dyDescent="0.25">
      <c r="A1104" s="198">
        <v>43220</v>
      </c>
      <c r="B1104" s="244">
        <v>7.8455000000000004</v>
      </c>
    </row>
    <row r="1105" spans="1:2" x14ac:dyDescent="0.25">
      <c r="A1105" s="198">
        <v>43222</v>
      </c>
      <c r="B1105" s="244">
        <v>7.8507999999999996</v>
      </c>
    </row>
    <row r="1106" spans="1:2" x14ac:dyDescent="0.25">
      <c r="A1106" s="198">
        <v>43223</v>
      </c>
      <c r="B1106" s="244">
        <v>7.8448000000000002</v>
      </c>
    </row>
    <row r="1107" spans="1:2" x14ac:dyDescent="0.25">
      <c r="A1107" s="198">
        <v>43224</v>
      </c>
      <c r="B1107" s="244">
        <v>7.8428000000000004</v>
      </c>
    </row>
    <row r="1108" spans="1:2" x14ac:dyDescent="0.25">
      <c r="A1108" s="198">
        <v>43227</v>
      </c>
      <c r="B1108" s="244">
        <v>7.8428000000000004</v>
      </c>
    </row>
    <row r="1109" spans="1:2" x14ac:dyDescent="0.25">
      <c r="A1109" s="198">
        <v>43228</v>
      </c>
      <c r="B1109" s="244">
        <v>7.835</v>
      </c>
    </row>
    <row r="1110" spans="1:2" x14ac:dyDescent="0.25">
      <c r="A1110" s="198">
        <v>43229</v>
      </c>
      <c r="B1110" s="244">
        <v>7.835</v>
      </c>
    </row>
    <row r="1111" spans="1:2" x14ac:dyDescent="0.25">
      <c r="A1111" s="198">
        <v>43230</v>
      </c>
      <c r="B1111" s="244">
        <v>7.8425000000000002</v>
      </c>
    </row>
    <row r="1112" spans="1:2" x14ac:dyDescent="0.25">
      <c r="A1112" s="198">
        <v>43231</v>
      </c>
      <c r="B1112" s="244">
        <v>7.8375000000000004</v>
      </c>
    </row>
    <row r="1113" spans="1:2" x14ac:dyDescent="0.25">
      <c r="A1113" s="198">
        <v>43234</v>
      </c>
      <c r="B1113" s="244">
        <v>7.8358999999999996</v>
      </c>
    </row>
    <row r="1114" spans="1:2" x14ac:dyDescent="0.25">
      <c r="A1114" s="198">
        <v>43235</v>
      </c>
      <c r="B1114" s="244">
        <v>7.8475000000000001</v>
      </c>
    </row>
    <row r="1115" spans="1:2" x14ac:dyDescent="0.25">
      <c r="A1115" s="198">
        <v>43236</v>
      </c>
      <c r="B1115" s="244">
        <v>7.8487999999999998</v>
      </c>
    </row>
    <row r="1116" spans="1:2" x14ac:dyDescent="0.25">
      <c r="A1116" s="198">
        <v>43237</v>
      </c>
      <c r="B1116" s="244">
        <v>7.8475000000000001</v>
      </c>
    </row>
    <row r="1117" spans="1:2" x14ac:dyDescent="0.25">
      <c r="A1117" s="198">
        <v>43238</v>
      </c>
      <c r="B1117" s="244">
        <v>7.86</v>
      </c>
    </row>
    <row r="1118" spans="1:2" x14ac:dyDescent="0.25">
      <c r="A1118" s="198">
        <v>43241</v>
      </c>
      <c r="B1118" s="244">
        <v>7.8676000000000004</v>
      </c>
    </row>
    <row r="1119" spans="1:2" x14ac:dyDescent="0.25">
      <c r="A1119" s="198">
        <v>43242</v>
      </c>
      <c r="B1119" s="244">
        <v>7.8558000000000003</v>
      </c>
    </row>
    <row r="1120" spans="1:2" x14ac:dyDescent="0.25">
      <c r="A1120" s="198">
        <v>43243</v>
      </c>
      <c r="B1120" s="244">
        <v>7.8601999999999999</v>
      </c>
    </row>
    <row r="1121" spans="1:2" x14ac:dyDescent="0.25">
      <c r="A1121" s="198">
        <v>43244</v>
      </c>
      <c r="B1121" s="244">
        <v>7.8620000000000001</v>
      </c>
    </row>
    <row r="1122" spans="1:2" x14ac:dyDescent="0.25">
      <c r="A1122" s="198">
        <v>43245</v>
      </c>
      <c r="B1122" s="244">
        <v>7.8612000000000002</v>
      </c>
    </row>
    <row r="1123" spans="1:2" x14ac:dyDescent="0.25">
      <c r="A1123" s="198">
        <v>43248</v>
      </c>
      <c r="B1123" s="244">
        <v>7.8662000000000001</v>
      </c>
    </row>
    <row r="1124" spans="1:2" x14ac:dyDescent="0.25">
      <c r="A1124" s="198">
        <v>43249</v>
      </c>
      <c r="B1124" s="244">
        <v>7.8585000000000003</v>
      </c>
    </row>
    <row r="1125" spans="1:2" x14ac:dyDescent="0.25">
      <c r="A1125" s="198">
        <v>43250</v>
      </c>
      <c r="B1125" s="244">
        <v>7.8586999999999998</v>
      </c>
    </row>
    <row r="1126" spans="1:2" x14ac:dyDescent="0.25">
      <c r="A1126" s="198">
        <v>43251</v>
      </c>
      <c r="B1126" s="244">
        <v>7.86</v>
      </c>
    </row>
    <row r="1127" spans="1:2" x14ac:dyDescent="0.25">
      <c r="A1127" s="198">
        <v>43252</v>
      </c>
      <c r="B1127" s="244">
        <v>7.8550000000000004</v>
      </c>
    </row>
    <row r="1128" spans="1:2" x14ac:dyDescent="0.25">
      <c r="A1128" s="198">
        <v>43255</v>
      </c>
      <c r="B1128" s="244">
        <v>7.85</v>
      </c>
    </row>
    <row r="1129" spans="1:2" x14ac:dyDescent="0.25">
      <c r="A1129" s="198">
        <v>43256</v>
      </c>
      <c r="B1129" s="244">
        <v>7.8529</v>
      </c>
    </row>
    <row r="1130" spans="1:2" x14ac:dyDescent="0.25">
      <c r="A1130" s="198">
        <v>43257</v>
      </c>
      <c r="B1130" s="244">
        <v>7.8545999999999996</v>
      </c>
    </row>
    <row r="1131" spans="1:2" x14ac:dyDescent="0.25">
      <c r="A1131" s="198">
        <v>43258</v>
      </c>
      <c r="B1131" s="244">
        <v>7.8639999999999999</v>
      </c>
    </row>
    <row r="1132" spans="1:2" x14ac:dyDescent="0.25">
      <c r="A1132" s="198">
        <v>43259</v>
      </c>
      <c r="B1132" s="244">
        <v>7.8728999999999996</v>
      </c>
    </row>
    <row r="1133" spans="1:2" x14ac:dyDescent="0.25">
      <c r="A1133" s="198">
        <v>43262</v>
      </c>
      <c r="B1133" s="244">
        <v>7.87</v>
      </c>
    </row>
    <row r="1134" spans="1:2" x14ac:dyDescent="0.25">
      <c r="A1134" s="198">
        <v>43263</v>
      </c>
      <c r="B1134" s="244">
        <v>7.8720999999999997</v>
      </c>
    </row>
    <row r="1135" spans="1:2" x14ac:dyDescent="0.25">
      <c r="A1135" s="198">
        <v>43264</v>
      </c>
      <c r="B1135" s="244">
        <v>7.88</v>
      </c>
    </row>
    <row r="1136" spans="1:2" x14ac:dyDescent="0.25">
      <c r="A1136" s="198">
        <v>43265</v>
      </c>
      <c r="B1136" s="244">
        <v>7.8788</v>
      </c>
    </row>
    <row r="1137" spans="1:2" x14ac:dyDescent="0.25">
      <c r="A1137" s="198">
        <v>43266</v>
      </c>
      <c r="B1137" s="244">
        <v>7.891</v>
      </c>
    </row>
    <row r="1138" spans="1:2" x14ac:dyDescent="0.25">
      <c r="A1138" s="198">
        <v>43269</v>
      </c>
      <c r="B1138" s="244">
        <v>7.8933</v>
      </c>
    </row>
    <row r="1139" spans="1:2" x14ac:dyDescent="0.25">
      <c r="A1139" s="198">
        <v>43270</v>
      </c>
      <c r="B1139" s="244">
        <v>7.9002999999999997</v>
      </c>
    </row>
    <row r="1140" spans="1:2" x14ac:dyDescent="0.25">
      <c r="A1140" s="198">
        <v>43271</v>
      </c>
      <c r="B1140" s="244">
        <v>7.8975</v>
      </c>
    </row>
    <row r="1141" spans="1:2" x14ac:dyDescent="0.25">
      <c r="A1141" s="198">
        <v>43272</v>
      </c>
      <c r="B1141" s="244">
        <v>7.9</v>
      </c>
    </row>
    <row r="1142" spans="1:2" x14ac:dyDescent="0.25">
      <c r="A1142" s="198">
        <v>43273</v>
      </c>
      <c r="B1142" s="244">
        <v>7.915</v>
      </c>
    </row>
    <row r="1143" spans="1:2" x14ac:dyDescent="0.25">
      <c r="A1143" s="198">
        <v>43276</v>
      </c>
      <c r="B1143" s="244">
        <v>8.07</v>
      </c>
    </row>
    <row r="1144" spans="1:2" x14ac:dyDescent="0.25">
      <c r="A1144" s="198">
        <v>43277</v>
      </c>
      <c r="B1144" s="244">
        <v>8.08</v>
      </c>
    </row>
    <row r="1145" spans="1:2" x14ac:dyDescent="0.25">
      <c r="A1145" s="198">
        <v>43278</v>
      </c>
      <c r="B1145" s="244">
        <v>8.09</v>
      </c>
    </row>
    <row r="1146" spans="1:2" x14ac:dyDescent="0.25">
      <c r="A1146" s="198">
        <v>43279</v>
      </c>
      <c r="B1146" s="244">
        <v>8.1</v>
      </c>
    </row>
    <row r="1147" spans="1:2" x14ac:dyDescent="0.25">
      <c r="A1147" s="198">
        <v>43280</v>
      </c>
      <c r="B1147" s="244">
        <v>8.1029999999999998</v>
      </c>
    </row>
    <row r="1148" spans="1:2" x14ac:dyDescent="0.25">
      <c r="A1148" s="198">
        <v>43283</v>
      </c>
      <c r="B1148" s="244">
        <v>8.1004000000000005</v>
      </c>
    </row>
    <row r="1149" spans="1:2" x14ac:dyDescent="0.25">
      <c r="A1149" s="198">
        <v>43284</v>
      </c>
      <c r="B1149" s="244">
        <v>8.1</v>
      </c>
    </row>
    <row r="1150" spans="1:2" x14ac:dyDescent="0.25">
      <c r="A1150" s="198">
        <v>43285</v>
      </c>
      <c r="B1150" s="244">
        <v>8.1080000000000005</v>
      </c>
    </row>
    <row r="1151" spans="1:2" x14ac:dyDescent="0.25">
      <c r="A1151" s="198">
        <v>43286</v>
      </c>
      <c r="B1151" s="244">
        <v>8.1079000000000008</v>
      </c>
    </row>
    <row r="1152" spans="1:2" x14ac:dyDescent="0.25">
      <c r="A1152" s="198">
        <v>43287</v>
      </c>
      <c r="B1152" s="244">
        <v>8.1082999999999998</v>
      </c>
    </row>
    <row r="1153" spans="1:2" x14ac:dyDescent="0.25">
      <c r="A1153" s="198">
        <v>43290</v>
      </c>
      <c r="B1153" s="244">
        <v>8.1067999999999998</v>
      </c>
    </row>
    <row r="1154" spans="1:2" x14ac:dyDescent="0.25">
      <c r="A1154" s="198">
        <v>43291</v>
      </c>
      <c r="B1154" s="244">
        <v>8.1074999999999999</v>
      </c>
    </row>
    <row r="1155" spans="1:2" x14ac:dyDescent="0.25">
      <c r="A1155" s="198">
        <v>43292</v>
      </c>
      <c r="B1155" s="244">
        <v>8.1024999999999991</v>
      </c>
    </row>
    <row r="1156" spans="1:2" x14ac:dyDescent="0.25">
      <c r="A1156" s="198">
        <v>43293</v>
      </c>
      <c r="B1156" s="244">
        <v>8.11</v>
      </c>
    </row>
    <row r="1157" spans="1:2" x14ac:dyDescent="0.25">
      <c r="A1157" s="198">
        <v>43294</v>
      </c>
      <c r="B1157" s="244">
        <v>8.1050000000000004</v>
      </c>
    </row>
    <row r="1158" spans="1:2" x14ac:dyDescent="0.25">
      <c r="A1158" s="198">
        <v>43297</v>
      </c>
      <c r="B1158" s="244">
        <v>8.1050000000000004</v>
      </c>
    </row>
    <row r="1159" spans="1:2" x14ac:dyDescent="0.25">
      <c r="A1159" s="198">
        <v>43298</v>
      </c>
      <c r="B1159" s="244">
        <v>8.1067</v>
      </c>
    </row>
    <row r="1160" spans="1:2" x14ac:dyDescent="0.25">
      <c r="A1160" s="198">
        <v>43299</v>
      </c>
      <c r="B1160" s="244">
        <v>8.11</v>
      </c>
    </row>
    <row r="1161" spans="1:2" x14ac:dyDescent="0.25">
      <c r="A1161" s="198">
        <v>43300</v>
      </c>
      <c r="B1161" s="244">
        <v>8.11</v>
      </c>
    </row>
    <row r="1162" spans="1:2" x14ac:dyDescent="0.25">
      <c r="A1162" s="198">
        <v>43301</v>
      </c>
      <c r="B1162" s="244">
        <v>8.1050000000000004</v>
      </c>
    </row>
    <row r="1163" spans="1:2" x14ac:dyDescent="0.25">
      <c r="A1163" s="198">
        <v>43304</v>
      </c>
      <c r="B1163" s="244">
        <v>8.1100999999999992</v>
      </c>
    </row>
    <row r="1164" spans="1:2" x14ac:dyDescent="0.25">
      <c r="A1164" s="198">
        <v>43305</v>
      </c>
      <c r="B1164" s="244">
        <v>8.1067999999999998</v>
      </c>
    </row>
    <row r="1165" spans="1:2" x14ac:dyDescent="0.25">
      <c r="A1165" s="198">
        <v>43306</v>
      </c>
      <c r="B1165" s="244">
        <v>8.1024999999999991</v>
      </c>
    </row>
    <row r="1166" spans="1:2" x14ac:dyDescent="0.25">
      <c r="A1166" s="198">
        <v>43307</v>
      </c>
      <c r="B1166" s="244">
        <v>8.0805000000000007</v>
      </c>
    </row>
    <row r="1167" spans="1:2" x14ac:dyDescent="0.25">
      <c r="A1167" s="198">
        <v>43308</v>
      </c>
      <c r="B1167" s="244">
        <v>8.0950000000000006</v>
      </c>
    </row>
    <row r="1168" spans="1:2" x14ac:dyDescent="0.25">
      <c r="A1168" s="198">
        <v>43311</v>
      </c>
      <c r="B1168" s="244">
        <v>8.1</v>
      </c>
    </row>
    <row r="1169" spans="1:2" x14ac:dyDescent="0.25">
      <c r="A1169" s="198">
        <v>43312</v>
      </c>
      <c r="B1169" s="244">
        <v>8.1050000000000004</v>
      </c>
    </row>
    <row r="1170" spans="1:2" x14ac:dyDescent="0.25">
      <c r="A1170" s="198">
        <v>43313</v>
      </c>
      <c r="B1170" s="244">
        <v>8.1</v>
      </c>
    </row>
    <row r="1171" spans="1:2" x14ac:dyDescent="0.25">
      <c r="A1171" s="198">
        <v>43314</v>
      </c>
      <c r="B1171" s="244">
        <v>8.1</v>
      </c>
    </row>
    <row r="1172" spans="1:2" x14ac:dyDescent="0.25">
      <c r="A1172" s="198">
        <v>43315</v>
      </c>
      <c r="B1172" s="244">
        <v>8.11</v>
      </c>
    </row>
    <row r="1173" spans="1:2" x14ac:dyDescent="0.25">
      <c r="A1173" s="198">
        <v>43318</v>
      </c>
      <c r="B1173" s="244">
        <v>8.1050000000000004</v>
      </c>
    </row>
    <row r="1174" spans="1:2" x14ac:dyDescent="0.25">
      <c r="A1174" s="198">
        <v>43319</v>
      </c>
      <c r="B1174" s="244">
        <v>8.1074999999999999</v>
      </c>
    </row>
    <row r="1175" spans="1:2" x14ac:dyDescent="0.25">
      <c r="A1175" s="198">
        <v>43320</v>
      </c>
      <c r="B1175" s="244">
        <v>8.1074999999999999</v>
      </c>
    </row>
    <row r="1176" spans="1:2" x14ac:dyDescent="0.25">
      <c r="A1176" s="198">
        <v>43321</v>
      </c>
      <c r="B1176" s="244">
        <v>8.1001999999999992</v>
      </c>
    </row>
    <row r="1177" spans="1:2" x14ac:dyDescent="0.25">
      <c r="A1177" s="198">
        <v>43322</v>
      </c>
      <c r="B1177" s="244">
        <v>8.1041000000000007</v>
      </c>
    </row>
    <row r="1178" spans="1:2" x14ac:dyDescent="0.25">
      <c r="A1178" s="198">
        <v>43325</v>
      </c>
      <c r="B1178" s="244">
        <v>8.1035000000000004</v>
      </c>
    </row>
    <row r="1179" spans="1:2" x14ac:dyDescent="0.25">
      <c r="A1179" s="198">
        <v>43326</v>
      </c>
      <c r="B1179" s="244">
        <v>8.1050000000000004</v>
      </c>
    </row>
    <row r="1180" spans="1:2" x14ac:dyDescent="0.25">
      <c r="A1180" s="198">
        <v>43327</v>
      </c>
      <c r="B1180" s="244">
        <v>8.1</v>
      </c>
    </row>
    <row r="1181" spans="1:2" x14ac:dyDescent="0.25">
      <c r="A1181" s="198">
        <v>43328</v>
      </c>
      <c r="B1181" s="244">
        <v>8.1050000000000004</v>
      </c>
    </row>
    <row r="1182" spans="1:2" x14ac:dyDescent="0.25">
      <c r="A1182" s="198">
        <v>43329</v>
      </c>
      <c r="B1182" s="244">
        <v>8.11</v>
      </c>
    </row>
    <row r="1183" spans="1:2" x14ac:dyDescent="0.25">
      <c r="A1183" s="198">
        <v>43332</v>
      </c>
      <c r="B1183" s="244">
        <v>8.11</v>
      </c>
    </row>
    <row r="1184" spans="1:2" x14ac:dyDescent="0.25">
      <c r="A1184" s="198">
        <v>43333</v>
      </c>
      <c r="B1184" s="244">
        <v>8.1064000000000007</v>
      </c>
    </row>
    <row r="1185" spans="1:2" x14ac:dyDescent="0.25">
      <c r="A1185" s="198">
        <v>43334</v>
      </c>
      <c r="B1185" s="244">
        <v>8.1074999999999999</v>
      </c>
    </row>
    <row r="1186" spans="1:2" x14ac:dyDescent="0.25">
      <c r="A1186" s="198">
        <v>43335</v>
      </c>
      <c r="B1186" s="244">
        <v>8.11</v>
      </c>
    </row>
    <row r="1187" spans="1:2" x14ac:dyDescent="0.25">
      <c r="A1187" s="198">
        <v>43336</v>
      </c>
      <c r="B1187" s="244">
        <v>8.1064000000000007</v>
      </c>
    </row>
    <row r="1188" spans="1:2" x14ac:dyDescent="0.25">
      <c r="A1188" s="198">
        <v>43339</v>
      </c>
      <c r="B1188" s="244">
        <v>8.1120000000000001</v>
      </c>
    </row>
    <row r="1189" spans="1:2" x14ac:dyDescent="0.25">
      <c r="A1189" s="198">
        <v>43340</v>
      </c>
      <c r="B1189" s="244">
        <v>8.11</v>
      </c>
    </row>
    <row r="1190" spans="1:2" x14ac:dyDescent="0.25">
      <c r="A1190" s="198">
        <v>43341</v>
      </c>
      <c r="B1190" s="244">
        <v>8.1043000000000003</v>
      </c>
    </row>
    <row r="1191" spans="1:2" x14ac:dyDescent="0.25">
      <c r="A1191" s="198">
        <v>43342</v>
      </c>
      <c r="B1191" s="244">
        <v>8.11</v>
      </c>
    </row>
    <row r="1192" spans="1:2" x14ac:dyDescent="0.25">
      <c r="A1192" s="198">
        <v>43343</v>
      </c>
      <c r="B1192" s="244">
        <v>8.1037999999999997</v>
      </c>
    </row>
    <row r="1193" spans="1:2" x14ac:dyDescent="0.25">
      <c r="A1193" s="198">
        <v>43346</v>
      </c>
      <c r="B1193" s="244">
        <v>8.1085999999999991</v>
      </c>
    </row>
    <row r="1194" spans="1:2" x14ac:dyDescent="0.25">
      <c r="A1194" s="198">
        <v>43347</v>
      </c>
      <c r="B1194" s="244">
        <v>8.1018000000000008</v>
      </c>
    </row>
    <row r="1195" spans="1:2" x14ac:dyDescent="0.25">
      <c r="A1195" s="198">
        <v>43348</v>
      </c>
      <c r="B1195" s="244">
        <v>8.0988000000000007</v>
      </c>
    </row>
    <row r="1196" spans="1:2" x14ac:dyDescent="0.25">
      <c r="A1196" s="198">
        <v>43349</v>
      </c>
      <c r="B1196" s="244">
        <v>8.1074999999999999</v>
      </c>
    </row>
    <row r="1197" spans="1:2" x14ac:dyDescent="0.25">
      <c r="A1197" s="198">
        <v>43350</v>
      </c>
      <c r="B1197" s="244">
        <v>8.1039999999999992</v>
      </c>
    </row>
    <row r="1198" spans="1:2" x14ac:dyDescent="0.25">
      <c r="A1198" s="198">
        <v>43353</v>
      </c>
      <c r="B1198" s="244">
        <v>8.1014999999999997</v>
      </c>
    </row>
    <row r="1199" spans="1:2" x14ac:dyDescent="0.25">
      <c r="A1199" s="198">
        <v>43354</v>
      </c>
      <c r="B1199" s="244">
        <v>8.1149000000000004</v>
      </c>
    </row>
    <row r="1200" spans="1:2" x14ac:dyDescent="0.25">
      <c r="A1200" s="198">
        <v>43355</v>
      </c>
      <c r="B1200" s="244">
        <v>8.1150000000000002</v>
      </c>
    </row>
    <row r="1201" spans="1:2" x14ac:dyDescent="0.25">
      <c r="A1201" s="198">
        <v>43356</v>
      </c>
      <c r="B1201" s="244">
        <v>8.1109000000000009</v>
      </c>
    </row>
    <row r="1202" spans="1:2" x14ac:dyDescent="0.25">
      <c r="A1202" s="198">
        <v>43357</v>
      </c>
      <c r="B1202" s="244">
        <v>8.1195000000000004</v>
      </c>
    </row>
    <row r="1203" spans="1:2" x14ac:dyDescent="0.25">
      <c r="A1203" s="198">
        <v>43360</v>
      </c>
      <c r="B1203" s="244">
        <v>8.1199999999999992</v>
      </c>
    </row>
    <row r="1204" spans="1:2" x14ac:dyDescent="0.25">
      <c r="A1204" s="198">
        <v>43361</v>
      </c>
      <c r="B1204" s="244">
        <v>8.1165000000000003</v>
      </c>
    </row>
    <row r="1205" spans="1:2" x14ac:dyDescent="0.25">
      <c r="A1205" s="198">
        <v>43362</v>
      </c>
      <c r="B1205" s="244">
        <v>8.1199999999999992</v>
      </c>
    </row>
    <row r="1206" spans="1:2" x14ac:dyDescent="0.25">
      <c r="A1206" s="198">
        <v>43363</v>
      </c>
      <c r="B1206" s="244">
        <v>8.1225000000000005</v>
      </c>
    </row>
    <row r="1207" spans="1:2" x14ac:dyDescent="0.25">
      <c r="A1207" s="198">
        <v>43364</v>
      </c>
      <c r="B1207" s="244">
        <v>8.1227</v>
      </c>
    </row>
    <row r="1208" spans="1:2" x14ac:dyDescent="0.25">
      <c r="A1208" s="198">
        <v>43367</v>
      </c>
      <c r="B1208" s="244">
        <v>8.1199999999999992</v>
      </c>
    </row>
    <row r="1209" spans="1:2" x14ac:dyDescent="0.25">
      <c r="A1209" s="198">
        <v>43368</v>
      </c>
      <c r="B1209" s="244">
        <v>8.1199999999999992</v>
      </c>
    </row>
    <row r="1210" spans="1:2" x14ac:dyDescent="0.25">
      <c r="A1210" s="198">
        <v>43369</v>
      </c>
      <c r="B1210" s="244">
        <v>8.1199999999999992</v>
      </c>
    </row>
    <row r="1211" spans="1:2" x14ac:dyDescent="0.25">
      <c r="A1211" s="198">
        <v>43370</v>
      </c>
      <c r="B1211" s="244">
        <v>8.1225000000000005</v>
      </c>
    </row>
    <row r="1212" spans="1:2" x14ac:dyDescent="0.25">
      <c r="A1212" s="198">
        <v>43371</v>
      </c>
      <c r="B1212" s="244">
        <v>8.1150000000000002</v>
      </c>
    </row>
    <row r="1213" spans="1:2" x14ac:dyDescent="0.25">
      <c r="A1213" s="198">
        <v>43374</v>
      </c>
      <c r="B1213" s="244">
        <v>8.1199999999999992</v>
      </c>
    </row>
    <row r="1214" spans="1:2" x14ac:dyDescent="0.25">
      <c r="A1214" s="198">
        <v>43375</v>
      </c>
      <c r="B1214" s="244">
        <v>8.1150000000000002</v>
      </c>
    </row>
    <row r="1215" spans="1:2" x14ac:dyDescent="0.25">
      <c r="A1215" s="198">
        <v>43376</v>
      </c>
      <c r="B1215" s="244">
        <v>8.11</v>
      </c>
    </row>
    <row r="1216" spans="1:2" x14ac:dyDescent="0.25">
      <c r="A1216" s="198">
        <v>43377</v>
      </c>
      <c r="B1216" s="244">
        <v>8.1150000000000002</v>
      </c>
    </row>
    <row r="1217" spans="1:2" x14ac:dyDescent="0.25">
      <c r="A1217" s="198">
        <v>43378</v>
      </c>
      <c r="B1217" s="244">
        <v>8.1125000000000007</v>
      </c>
    </row>
    <row r="1218" spans="1:2" x14ac:dyDescent="0.25">
      <c r="A1218" s="198">
        <v>43381</v>
      </c>
      <c r="B1218" s="244">
        <v>8.1125000000000007</v>
      </c>
    </row>
    <row r="1219" spans="1:2" x14ac:dyDescent="0.25">
      <c r="A1219" s="198">
        <v>43382</v>
      </c>
      <c r="B1219" s="244">
        <v>8.1120000000000001</v>
      </c>
    </row>
    <row r="1220" spans="1:2" x14ac:dyDescent="0.25">
      <c r="A1220" s="198">
        <v>43383</v>
      </c>
      <c r="B1220" s="244">
        <v>8.1121999999999996</v>
      </c>
    </row>
    <row r="1221" spans="1:2" x14ac:dyDescent="0.25">
      <c r="A1221" s="198">
        <v>43384</v>
      </c>
      <c r="B1221" s="244">
        <v>8.1195000000000004</v>
      </c>
    </row>
    <row r="1222" spans="1:2" x14ac:dyDescent="0.25">
      <c r="A1222" s="198">
        <v>43385</v>
      </c>
      <c r="B1222" s="244">
        <v>8.1153999999999993</v>
      </c>
    </row>
    <row r="1223" spans="1:2" x14ac:dyDescent="0.25">
      <c r="A1223" s="198">
        <v>43388</v>
      </c>
      <c r="B1223" s="244">
        <v>8.1134000000000004</v>
      </c>
    </row>
    <row r="1224" spans="1:2" x14ac:dyDescent="0.25">
      <c r="A1224" s="198">
        <v>43389</v>
      </c>
      <c r="B1224" s="244">
        <v>8.1199999999999992</v>
      </c>
    </row>
    <row r="1225" spans="1:2" x14ac:dyDescent="0.25">
      <c r="A1225" s="198">
        <v>43390</v>
      </c>
      <c r="B1225" s="244">
        <v>8.1150000000000002</v>
      </c>
    </row>
    <row r="1226" spans="1:2" x14ac:dyDescent="0.25">
      <c r="A1226" s="198">
        <v>43391</v>
      </c>
      <c r="B1226" s="244">
        <v>8.1150000000000002</v>
      </c>
    </row>
    <row r="1227" spans="1:2" x14ac:dyDescent="0.25">
      <c r="A1227" s="198">
        <v>43392</v>
      </c>
      <c r="B1227" s="244">
        <v>8.1150000000000002</v>
      </c>
    </row>
    <row r="1228" spans="1:2" x14ac:dyDescent="0.25">
      <c r="A1228" s="198">
        <v>43395</v>
      </c>
      <c r="B1228" s="244">
        <v>8.1105999999999998</v>
      </c>
    </row>
    <row r="1229" spans="1:2" x14ac:dyDescent="0.25">
      <c r="A1229" s="198">
        <v>43396</v>
      </c>
      <c r="B1229" s="244">
        <v>8.1085999999999991</v>
      </c>
    </row>
    <row r="1230" spans="1:2" x14ac:dyDescent="0.25">
      <c r="A1230" s="198">
        <v>43397</v>
      </c>
      <c r="B1230" s="244">
        <v>8.1150000000000002</v>
      </c>
    </row>
    <row r="1231" spans="1:2" x14ac:dyDescent="0.25">
      <c r="A1231" s="198">
        <v>43398</v>
      </c>
      <c r="B1231" s="244">
        <v>8.1125000000000007</v>
      </c>
    </row>
    <row r="1232" spans="1:2" x14ac:dyDescent="0.25">
      <c r="A1232" s="198">
        <v>43399</v>
      </c>
      <c r="B1232" s="244">
        <v>8.1274999999999995</v>
      </c>
    </row>
    <row r="1233" spans="1:2" x14ac:dyDescent="0.25">
      <c r="A1233" s="198">
        <v>43402</v>
      </c>
      <c r="B1233" s="244">
        <v>8.1214999999999993</v>
      </c>
    </row>
    <row r="1234" spans="1:2" x14ac:dyDescent="0.25">
      <c r="A1234" s="198">
        <v>43403</v>
      </c>
      <c r="B1234" s="244">
        <v>8.14</v>
      </c>
    </row>
    <row r="1235" spans="1:2" x14ac:dyDescent="0.25">
      <c r="A1235" s="198">
        <v>43404</v>
      </c>
      <c r="B1235" s="244">
        <v>8.1539000000000001</v>
      </c>
    </row>
    <row r="1236" spans="1:2" x14ac:dyDescent="0.25">
      <c r="A1236" s="198">
        <v>43405</v>
      </c>
      <c r="B1236" s="244">
        <v>8.1675000000000004</v>
      </c>
    </row>
    <row r="1237" spans="1:2" x14ac:dyDescent="0.25">
      <c r="A1237" s="198">
        <v>43409</v>
      </c>
      <c r="B1237" s="244">
        <v>8.1723999999999997</v>
      </c>
    </row>
    <row r="1238" spans="1:2" x14ac:dyDescent="0.25">
      <c r="A1238" s="198">
        <v>43410</v>
      </c>
      <c r="B1238" s="244">
        <v>8.1651000000000007</v>
      </c>
    </row>
    <row r="1239" spans="1:2" x14ac:dyDescent="0.25">
      <c r="A1239" s="198">
        <v>43411</v>
      </c>
      <c r="B1239" s="244">
        <v>8.1649999999999991</v>
      </c>
    </row>
    <row r="1240" spans="1:2" x14ac:dyDescent="0.25">
      <c r="A1240" s="198">
        <v>43412</v>
      </c>
      <c r="B1240" s="244">
        <v>8.1750000000000007</v>
      </c>
    </row>
    <row r="1241" spans="1:2" x14ac:dyDescent="0.25">
      <c r="A1241" s="198">
        <v>43413</v>
      </c>
      <c r="B1241" s="244">
        <v>8.1824999999999992</v>
      </c>
    </row>
    <row r="1242" spans="1:2" x14ac:dyDescent="0.25">
      <c r="A1242" s="198">
        <v>43416</v>
      </c>
      <c r="B1242" s="244">
        <v>8.1887000000000008</v>
      </c>
    </row>
    <row r="1243" spans="1:2" x14ac:dyDescent="0.25">
      <c r="A1243" s="198">
        <v>43417</v>
      </c>
      <c r="B1243" s="244">
        <v>8.19</v>
      </c>
    </row>
    <row r="1244" spans="1:2" x14ac:dyDescent="0.25">
      <c r="A1244" s="198">
        <v>43418</v>
      </c>
      <c r="B1244" s="244">
        <v>8.1877999999999993</v>
      </c>
    </row>
    <row r="1245" spans="1:2" x14ac:dyDescent="0.25">
      <c r="A1245" s="198">
        <v>43419</v>
      </c>
      <c r="B1245" s="244">
        <v>8.1922999999999995</v>
      </c>
    </row>
    <row r="1246" spans="1:2" x14ac:dyDescent="0.25">
      <c r="A1246" s="198">
        <v>43420</v>
      </c>
      <c r="B1246" s="244">
        <v>8.2050000000000001</v>
      </c>
    </row>
    <row r="1247" spans="1:2" x14ac:dyDescent="0.25">
      <c r="A1247" s="198">
        <v>43424</v>
      </c>
      <c r="B1247" s="244">
        <v>8.3177000000000003</v>
      </c>
    </row>
    <row r="1248" spans="1:2" x14ac:dyDescent="0.25">
      <c r="A1248" s="198">
        <v>43425</v>
      </c>
      <c r="B1248" s="244">
        <v>8.3165999999999993</v>
      </c>
    </row>
    <row r="1249" spans="1:2" x14ac:dyDescent="0.25">
      <c r="A1249" s="198">
        <v>43426</v>
      </c>
      <c r="B1249" s="244">
        <v>8.3107000000000006</v>
      </c>
    </row>
    <row r="1250" spans="1:2" x14ac:dyDescent="0.25">
      <c r="A1250" s="198">
        <v>43427</v>
      </c>
      <c r="B1250" s="244">
        <v>8.3157999999999994</v>
      </c>
    </row>
    <row r="1251" spans="1:2" x14ac:dyDescent="0.25">
      <c r="A1251" s="198">
        <v>43430</v>
      </c>
      <c r="B1251" s="244">
        <v>8.32</v>
      </c>
    </row>
    <row r="1252" spans="1:2" x14ac:dyDescent="0.25">
      <c r="A1252" s="198">
        <v>43431</v>
      </c>
      <c r="B1252" s="244">
        <v>8.32</v>
      </c>
    </row>
    <row r="1253" spans="1:2" x14ac:dyDescent="0.25">
      <c r="A1253" s="198">
        <v>43432</v>
      </c>
      <c r="B1253" s="244">
        <v>8.3350000000000009</v>
      </c>
    </row>
    <row r="1254" spans="1:2" x14ac:dyDescent="0.25">
      <c r="A1254" s="198">
        <v>43433</v>
      </c>
      <c r="B1254" s="244">
        <v>8.3450000000000006</v>
      </c>
    </row>
    <row r="1255" spans="1:2" x14ac:dyDescent="0.25">
      <c r="A1255" s="198">
        <v>43434</v>
      </c>
      <c r="B1255" s="244">
        <v>8.3362999999999996</v>
      </c>
    </row>
    <row r="1256" spans="1:2" x14ac:dyDescent="0.25">
      <c r="A1256" s="198">
        <v>43437</v>
      </c>
      <c r="B1256" s="244">
        <v>8.3328000000000007</v>
      </c>
    </row>
    <row r="1257" spans="1:2" x14ac:dyDescent="0.25">
      <c r="A1257" s="198">
        <v>43438</v>
      </c>
      <c r="B1257" s="244">
        <v>8.33</v>
      </c>
    </row>
    <row r="1258" spans="1:2" x14ac:dyDescent="0.25">
      <c r="A1258" s="198">
        <v>43439</v>
      </c>
      <c r="B1258" s="244">
        <v>8.3437999999999999</v>
      </c>
    </row>
    <row r="1259" spans="1:2" x14ac:dyDescent="0.25">
      <c r="A1259" s="198">
        <v>43440</v>
      </c>
      <c r="B1259" s="244">
        <v>8.34</v>
      </c>
    </row>
    <row r="1260" spans="1:2" x14ac:dyDescent="0.25">
      <c r="A1260" s="198">
        <v>43441</v>
      </c>
      <c r="B1260" s="244">
        <v>8.3350000000000009</v>
      </c>
    </row>
    <row r="1261" spans="1:2" x14ac:dyDescent="0.25">
      <c r="A1261" s="198">
        <v>43444</v>
      </c>
      <c r="B1261" s="244">
        <v>8.3472000000000008</v>
      </c>
    </row>
    <row r="1262" spans="1:2" x14ac:dyDescent="0.25">
      <c r="A1262" s="198">
        <v>43445</v>
      </c>
      <c r="B1262" s="244">
        <v>8.3411000000000008</v>
      </c>
    </row>
    <row r="1263" spans="1:2" x14ac:dyDescent="0.25">
      <c r="A1263" s="198">
        <v>43447</v>
      </c>
      <c r="B1263" s="244">
        <v>8.3550000000000004</v>
      </c>
    </row>
    <row r="1264" spans="1:2" x14ac:dyDescent="0.25">
      <c r="A1264" s="198">
        <v>43448</v>
      </c>
      <c r="B1264" s="244">
        <v>8.35</v>
      </c>
    </row>
    <row r="1265" spans="1:2" x14ac:dyDescent="0.25">
      <c r="A1265" s="198">
        <v>43451</v>
      </c>
      <c r="B1265" s="244">
        <v>8.35</v>
      </c>
    </row>
    <row r="1266" spans="1:2" x14ac:dyDescent="0.25">
      <c r="A1266" s="198">
        <v>43452</v>
      </c>
      <c r="B1266" s="244">
        <v>8.3524999999999991</v>
      </c>
    </row>
    <row r="1267" spans="1:2" x14ac:dyDescent="0.25">
      <c r="A1267" s="198">
        <v>43453</v>
      </c>
      <c r="B1267" s="244">
        <v>8.3650000000000002</v>
      </c>
    </row>
    <row r="1268" spans="1:2" x14ac:dyDescent="0.25">
      <c r="A1268" s="198">
        <v>43454</v>
      </c>
      <c r="B1268" s="244">
        <v>8.3699999999999992</v>
      </c>
    </row>
    <row r="1269" spans="1:2" x14ac:dyDescent="0.25">
      <c r="A1269" s="198">
        <v>43455</v>
      </c>
      <c r="B1269" s="244">
        <v>8.3836999999999993</v>
      </c>
    </row>
    <row r="1270" spans="1:2" x14ac:dyDescent="0.25">
      <c r="A1270" s="198">
        <v>43458</v>
      </c>
      <c r="B1270" s="244">
        <v>8.5574999999999992</v>
      </c>
    </row>
    <row r="1271" spans="1:2" x14ac:dyDescent="0.25">
      <c r="A1271" s="198">
        <v>43460</v>
      </c>
      <c r="B1271" s="244">
        <v>8.5824999999999996</v>
      </c>
    </row>
    <row r="1272" spans="1:2" x14ac:dyDescent="0.25">
      <c r="A1272" s="198">
        <v>43461</v>
      </c>
      <c r="B1272" s="244">
        <v>8.5749999999999993</v>
      </c>
    </row>
    <row r="1273" spans="1:2" x14ac:dyDescent="0.25">
      <c r="A1273" s="198">
        <v>43462</v>
      </c>
      <c r="B1273" s="244">
        <v>8.5891999999999999</v>
      </c>
    </row>
    <row r="1274" spans="1:2" x14ac:dyDescent="0.25">
      <c r="A1274" s="198">
        <v>43465</v>
      </c>
      <c r="B1274" s="244">
        <v>8.5955999999999992</v>
      </c>
    </row>
    <row r="1275" spans="1:2" x14ac:dyDescent="0.25">
      <c r="A1275" s="198">
        <v>43467</v>
      </c>
      <c r="B1275" s="244">
        <v>8.5897000000000006</v>
      </c>
    </row>
    <row r="1276" spans="1:2" x14ac:dyDescent="0.25">
      <c r="A1276" s="198">
        <v>43468</v>
      </c>
      <c r="B1276" s="244">
        <v>8.5988000000000007</v>
      </c>
    </row>
    <row r="1277" spans="1:2" x14ac:dyDescent="0.25">
      <c r="A1277" s="198">
        <v>43469</v>
      </c>
      <c r="B1277" s="244">
        <v>8.5937999999999999</v>
      </c>
    </row>
    <row r="1278" spans="1:2" x14ac:dyDescent="0.25">
      <c r="A1278" s="198">
        <v>43472</v>
      </c>
      <c r="B1278" s="244">
        <v>8.59</v>
      </c>
    </row>
    <row r="1279" spans="1:2" x14ac:dyDescent="0.25">
      <c r="A1279" s="198">
        <v>43473</v>
      </c>
      <c r="B1279" s="244">
        <v>8.5875000000000004</v>
      </c>
    </row>
    <row r="1280" spans="1:2" x14ac:dyDescent="0.25">
      <c r="A1280" s="198">
        <v>43474</v>
      </c>
      <c r="B1280" s="244">
        <v>8.5855999999999995</v>
      </c>
    </row>
    <row r="1281" spans="1:2" x14ac:dyDescent="0.25">
      <c r="A1281" s="198">
        <v>43475</v>
      </c>
      <c r="B1281" s="244">
        <v>8.5850000000000009</v>
      </c>
    </row>
    <row r="1282" spans="1:2" x14ac:dyDescent="0.25">
      <c r="A1282" s="198">
        <v>43476</v>
      </c>
      <c r="B1282" s="244">
        <v>8.5840999999999994</v>
      </c>
    </row>
    <row r="1283" spans="1:2" x14ac:dyDescent="0.25">
      <c r="A1283" s="198">
        <v>43479</v>
      </c>
      <c r="B1283" s="244">
        <v>8.5950000000000006</v>
      </c>
    </row>
    <row r="1284" spans="1:2" x14ac:dyDescent="0.25">
      <c r="A1284" s="198">
        <v>43480</v>
      </c>
      <c r="B1284" s="244">
        <v>8.5950000000000006</v>
      </c>
    </row>
    <row r="1285" spans="1:2" x14ac:dyDescent="0.25">
      <c r="A1285" s="198">
        <v>43481</v>
      </c>
      <c r="B1285" s="244">
        <v>8.5950000000000006</v>
      </c>
    </row>
    <row r="1286" spans="1:2" x14ac:dyDescent="0.25">
      <c r="A1286" s="198">
        <v>43482</v>
      </c>
      <c r="B1286" s="244">
        <v>8.5924999999999994</v>
      </c>
    </row>
    <row r="1287" spans="1:2" x14ac:dyDescent="0.25">
      <c r="A1287" s="198">
        <v>43483</v>
      </c>
      <c r="B1287" s="244">
        <v>8.5831</v>
      </c>
    </row>
    <row r="1288" spans="1:2" x14ac:dyDescent="0.25">
      <c r="A1288" s="198">
        <v>43486</v>
      </c>
      <c r="B1288" s="244">
        <v>8.5924999999999994</v>
      </c>
    </row>
    <row r="1289" spans="1:2" x14ac:dyDescent="0.25">
      <c r="A1289" s="198">
        <v>43487</v>
      </c>
      <c r="B1289" s="244">
        <v>8.6</v>
      </c>
    </row>
    <row r="1290" spans="1:2" x14ac:dyDescent="0.25">
      <c r="A1290" s="198">
        <v>43488</v>
      </c>
      <c r="B1290" s="244">
        <v>8.5950000000000006</v>
      </c>
    </row>
    <row r="1291" spans="1:2" x14ac:dyDescent="0.25">
      <c r="A1291" s="198">
        <v>43489</v>
      </c>
      <c r="B1291" s="244">
        <v>8.5996000000000006</v>
      </c>
    </row>
    <row r="1292" spans="1:2" x14ac:dyDescent="0.25">
      <c r="A1292" s="198">
        <v>43490</v>
      </c>
      <c r="B1292" s="244">
        <v>8.5962999999999994</v>
      </c>
    </row>
    <row r="1293" spans="1:2" x14ac:dyDescent="0.25">
      <c r="A1293" s="198">
        <v>43493</v>
      </c>
      <c r="B1293" s="244">
        <v>8.5950000000000006</v>
      </c>
    </row>
    <row r="1294" spans="1:2" x14ac:dyDescent="0.25">
      <c r="A1294" s="198">
        <v>43494</v>
      </c>
      <c r="B1294" s="244">
        <v>8.5944000000000003</v>
      </c>
    </row>
    <row r="1295" spans="1:2" x14ac:dyDescent="0.25">
      <c r="A1295" s="198">
        <v>43495</v>
      </c>
      <c r="B1295" s="244">
        <v>8.59</v>
      </c>
    </row>
    <row r="1296" spans="1:2" x14ac:dyDescent="0.25">
      <c r="A1296" s="198">
        <v>43496</v>
      </c>
      <c r="B1296" s="244">
        <v>8.5917999999999992</v>
      </c>
    </row>
    <row r="1297" spans="1:2" x14ac:dyDescent="0.25">
      <c r="A1297" s="198">
        <v>43497</v>
      </c>
      <c r="B1297" s="244">
        <v>8.5950000000000006</v>
      </c>
    </row>
    <row r="1298" spans="1:2" x14ac:dyDescent="0.25">
      <c r="A1298" s="198">
        <v>43501</v>
      </c>
      <c r="B1298" s="244">
        <v>8.5875000000000004</v>
      </c>
    </row>
    <row r="1299" spans="1:2" x14ac:dyDescent="0.25">
      <c r="A1299" s="198">
        <v>43502</v>
      </c>
      <c r="B1299" s="244">
        <v>8.5860000000000003</v>
      </c>
    </row>
    <row r="1300" spans="1:2" x14ac:dyDescent="0.25">
      <c r="A1300" s="198">
        <v>43503</v>
      </c>
      <c r="B1300" s="244">
        <v>8.5850000000000009</v>
      </c>
    </row>
    <row r="1301" spans="1:2" x14ac:dyDescent="0.25">
      <c r="A1301" s="198">
        <v>43504</v>
      </c>
      <c r="B1301" s="244">
        <v>8.5850000000000009</v>
      </c>
    </row>
    <row r="1302" spans="1:2" x14ac:dyDescent="0.25">
      <c r="A1302" s="198">
        <v>43507</v>
      </c>
      <c r="B1302" s="244">
        <v>8.5790000000000006</v>
      </c>
    </row>
    <row r="1303" spans="1:2" x14ac:dyDescent="0.25">
      <c r="A1303" s="198">
        <v>43508</v>
      </c>
      <c r="B1303" s="244">
        <v>8.5734999999999992</v>
      </c>
    </row>
    <row r="1304" spans="1:2" x14ac:dyDescent="0.25">
      <c r="A1304" s="198">
        <v>43509</v>
      </c>
      <c r="B1304" s="244">
        <v>8.5685000000000002</v>
      </c>
    </row>
    <row r="1305" spans="1:2" x14ac:dyDescent="0.25">
      <c r="A1305" s="198">
        <v>43510</v>
      </c>
      <c r="B1305" s="244">
        <v>8.5609999999999999</v>
      </c>
    </row>
    <row r="1306" spans="1:2" x14ac:dyDescent="0.25">
      <c r="A1306" s="198">
        <v>43511</v>
      </c>
      <c r="B1306" s="244">
        <v>8.5574999999999992</v>
      </c>
    </row>
    <row r="1307" spans="1:2" x14ac:dyDescent="0.25">
      <c r="A1307" s="198">
        <v>43514</v>
      </c>
      <c r="B1307" s="244">
        <v>8.56</v>
      </c>
    </row>
    <row r="1308" spans="1:2" x14ac:dyDescent="0.25">
      <c r="A1308" s="198">
        <v>43515</v>
      </c>
      <c r="B1308" s="244">
        <v>8.5641999999999996</v>
      </c>
    </row>
    <row r="1309" spans="1:2" x14ac:dyDescent="0.25">
      <c r="A1309" s="198">
        <v>43516</v>
      </c>
      <c r="B1309" s="244">
        <v>8.5474999999999994</v>
      </c>
    </row>
    <row r="1310" spans="1:2" x14ac:dyDescent="0.25">
      <c r="A1310" s="198">
        <v>43517</v>
      </c>
      <c r="B1310" s="244">
        <v>8.5350000000000001</v>
      </c>
    </row>
    <row r="1311" spans="1:2" x14ac:dyDescent="0.25">
      <c r="A1311" s="198">
        <v>43518</v>
      </c>
      <c r="B1311" s="244">
        <v>8.5398999999999994</v>
      </c>
    </row>
    <row r="1312" spans="1:2" x14ac:dyDescent="0.25">
      <c r="A1312" s="198">
        <v>43521</v>
      </c>
      <c r="B1312" s="244">
        <v>8.5350000000000001</v>
      </c>
    </row>
    <row r="1313" spans="1:2" x14ac:dyDescent="0.25">
      <c r="A1313" s="198">
        <v>43522</v>
      </c>
      <c r="B1313" s="244">
        <v>8.5408000000000008</v>
      </c>
    </row>
    <row r="1314" spans="1:2" x14ac:dyDescent="0.25">
      <c r="A1314" s="198">
        <v>43523</v>
      </c>
      <c r="B1314" s="244">
        <v>8.5353999999999992</v>
      </c>
    </row>
    <row r="1315" spans="1:2" x14ac:dyDescent="0.25">
      <c r="A1315" s="198">
        <v>43524</v>
      </c>
      <c r="B1315" s="244">
        <v>8.5365000000000002</v>
      </c>
    </row>
    <row r="1316" spans="1:2" x14ac:dyDescent="0.25">
      <c r="A1316" s="198">
        <v>43525</v>
      </c>
      <c r="B1316" s="244">
        <v>8.5350000000000001</v>
      </c>
    </row>
    <row r="1317" spans="1:2" x14ac:dyDescent="0.25">
      <c r="A1317" s="198">
        <v>43528</v>
      </c>
      <c r="B1317" s="244">
        <v>8.5338999999999992</v>
      </c>
    </row>
    <row r="1318" spans="1:2" x14ac:dyDescent="0.25">
      <c r="A1318" s="198">
        <v>43529</v>
      </c>
      <c r="B1318" s="244">
        <v>8.5325000000000006</v>
      </c>
    </row>
    <row r="1319" spans="1:2" x14ac:dyDescent="0.25">
      <c r="A1319" s="198">
        <v>43530</v>
      </c>
      <c r="B1319" s="244">
        <v>8.52</v>
      </c>
    </row>
    <row r="1320" spans="1:2" x14ac:dyDescent="0.25">
      <c r="A1320" s="198">
        <v>43531</v>
      </c>
      <c r="B1320" s="244">
        <v>8.5265000000000004</v>
      </c>
    </row>
    <row r="1321" spans="1:2" x14ac:dyDescent="0.25">
      <c r="A1321" s="198">
        <v>43532</v>
      </c>
      <c r="B1321" s="244">
        <v>8.5259999999999998</v>
      </c>
    </row>
    <row r="1322" spans="1:2" x14ac:dyDescent="0.25">
      <c r="A1322" s="198">
        <v>43535</v>
      </c>
      <c r="B1322" s="244">
        <v>8.5259999999999998</v>
      </c>
    </row>
    <row r="1323" spans="1:2" x14ac:dyDescent="0.25">
      <c r="A1323" s="198">
        <v>43536</v>
      </c>
      <c r="B1323" s="244">
        <v>8.52</v>
      </c>
    </row>
    <row r="1324" spans="1:2" x14ac:dyDescent="0.25">
      <c r="A1324" s="198">
        <v>43537</v>
      </c>
      <c r="B1324" s="244">
        <v>8.5124999999999993</v>
      </c>
    </row>
    <row r="1325" spans="1:2" x14ac:dyDescent="0.25">
      <c r="A1325" s="198">
        <v>43538</v>
      </c>
      <c r="B1325" s="244">
        <v>8.5151000000000003</v>
      </c>
    </row>
    <row r="1326" spans="1:2" x14ac:dyDescent="0.25">
      <c r="A1326" s="198">
        <v>43539</v>
      </c>
      <c r="B1326" s="244">
        <v>8.5155999999999992</v>
      </c>
    </row>
    <row r="1327" spans="1:2" x14ac:dyDescent="0.25">
      <c r="A1327" s="198">
        <v>43543</v>
      </c>
      <c r="B1327" s="244">
        <v>8.5150000000000006</v>
      </c>
    </row>
    <row r="1328" spans="1:2" x14ac:dyDescent="0.25">
      <c r="A1328" s="198">
        <v>43544</v>
      </c>
      <c r="B1328" s="244">
        <v>8.5137</v>
      </c>
    </row>
    <row r="1329" spans="1:2" x14ac:dyDescent="0.25">
      <c r="A1329" s="198">
        <v>43545</v>
      </c>
      <c r="B1329" s="244">
        <v>8.5175000000000001</v>
      </c>
    </row>
    <row r="1330" spans="1:2" x14ac:dyDescent="0.25">
      <c r="A1330" s="198">
        <v>43546</v>
      </c>
      <c r="B1330" s="244">
        <v>8.5112000000000005</v>
      </c>
    </row>
    <row r="1331" spans="1:2" x14ac:dyDescent="0.25">
      <c r="A1331" s="198">
        <v>43549</v>
      </c>
      <c r="B1331" s="244">
        <v>8.5124999999999993</v>
      </c>
    </row>
    <row r="1332" spans="1:2" x14ac:dyDescent="0.25">
      <c r="A1332" s="198">
        <v>43550</v>
      </c>
      <c r="B1332" s="244">
        <v>8.5137999999999998</v>
      </c>
    </row>
    <row r="1333" spans="1:2" x14ac:dyDescent="0.25">
      <c r="A1333" s="198">
        <v>43551</v>
      </c>
      <c r="B1333" s="244">
        <v>8.5137</v>
      </c>
    </row>
    <row r="1334" spans="1:2" x14ac:dyDescent="0.25">
      <c r="A1334" s="198">
        <v>43552</v>
      </c>
      <c r="B1334" s="244">
        <v>8.51</v>
      </c>
    </row>
    <row r="1335" spans="1:2" x14ac:dyDescent="0.25">
      <c r="A1335" s="198">
        <v>43553</v>
      </c>
      <c r="B1335" s="244">
        <v>8.5099</v>
      </c>
    </row>
    <row r="1336" spans="1:2" x14ac:dyDescent="0.25">
      <c r="A1336" s="198">
        <v>43556</v>
      </c>
      <c r="B1336" s="244">
        <v>8.5150000000000006</v>
      </c>
    </row>
    <row r="1337" spans="1:2" x14ac:dyDescent="0.25">
      <c r="A1337" s="198">
        <v>43557</v>
      </c>
      <c r="B1337" s="244">
        <v>8.51</v>
      </c>
    </row>
    <row r="1338" spans="1:2" x14ac:dyDescent="0.25">
      <c r="A1338" s="198">
        <v>43558</v>
      </c>
      <c r="B1338" s="244">
        <v>8.4962</v>
      </c>
    </row>
    <row r="1339" spans="1:2" x14ac:dyDescent="0.25">
      <c r="A1339" s="198">
        <v>43559</v>
      </c>
      <c r="B1339" s="244">
        <v>8.5</v>
      </c>
    </row>
    <row r="1340" spans="1:2" x14ac:dyDescent="0.25">
      <c r="A1340" s="198">
        <v>43560</v>
      </c>
      <c r="B1340" s="244">
        <v>8.5</v>
      </c>
    </row>
    <row r="1341" spans="1:2" x14ac:dyDescent="0.25">
      <c r="A1341" s="198">
        <v>43563</v>
      </c>
      <c r="B1341" s="244">
        <v>8.4909999999999997</v>
      </c>
    </row>
    <row r="1342" spans="1:2" x14ac:dyDescent="0.25">
      <c r="A1342" s="198">
        <v>43564</v>
      </c>
      <c r="B1342" s="244">
        <v>8.4975000000000005</v>
      </c>
    </row>
    <row r="1343" spans="1:2" x14ac:dyDescent="0.25">
      <c r="A1343" s="198">
        <v>43565</v>
      </c>
      <c r="B1343" s="244">
        <v>8.4924999999999997</v>
      </c>
    </row>
    <row r="1344" spans="1:2" x14ac:dyDescent="0.25">
      <c r="A1344" s="198">
        <v>43566</v>
      </c>
      <c r="B1344" s="244">
        <v>8.4924999999999997</v>
      </c>
    </row>
    <row r="1345" spans="1:2" x14ac:dyDescent="0.25">
      <c r="A1345" s="198">
        <v>43567</v>
      </c>
      <c r="B1345" s="244">
        <v>8.4924999999999997</v>
      </c>
    </row>
    <row r="1346" spans="1:2" x14ac:dyDescent="0.25">
      <c r="A1346" s="198">
        <v>43570</v>
      </c>
      <c r="B1346" s="244">
        <v>8.4924999999999997</v>
      </c>
    </row>
    <row r="1347" spans="1:2" x14ac:dyDescent="0.25">
      <c r="A1347" s="198">
        <v>43571</v>
      </c>
      <c r="B1347" s="244">
        <v>8.4949999999999992</v>
      </c>
    </row>
    <row r="1348" spans="1:2" x14ac:dyDescent="0.25">
      <c r="A1348" s="198">
        <v>43572</v>
      </c>
      <c r="B1348" s="244">
        <v>8.4924999999999997</v>
      </c>
    </row>
    <row r="1349" spans="1:2" x14ac:dyDescent="0.25">
      <c r="A1349" s="198">
        <v>43577</v>
      </c>
      <c r="B1349" s="244">
        <v>8.4969999999999999</v>
      </c>
    </row>
    <row r="1350" spans="1:2" x14ac:dyDescent="0.25">
      <c r="A1350" s="198">
        <v>43578</v>
      </c>
      <c r="B1350" s="244">
        <v>8.4949999999999992</v>
      </c>
    </row>
    <row r="1351" spans="1:2" x14ac:dyDescent="0.25">
      <c r="A1351" s="198">
        <v>43579</v>
      </c>
      <c r="B1351" s="244">
        <v>8.4975000000000005</v>
      </c>
    </row>
    <row r="1352" spans="1:2" x14ac:dyDescent="0.25">
      <c r="A1352" s="198">
        <v>43580</v>
      </c>
      <c r="B1352" s="244">
        <v>8.5</v>
      </c>
    </row>
    <row r="1353" spans="1:2" x14ac:dyDescent="0.25">
      <c r="A1353" s="198">
        <v>43581</v>
      </c>
      <c r="B1353" s="244">
        <v>8.5021000000000004</v>
      </c>
    </row>
    <row r="1354" spans="1:2" x14ac:dyDescent="0.25">
      <c r="A1354" s="198">
        <v>43584</v>
      </c>
      <c r="B1354" s="244">
        <v>8.5043000000000006</v>
      </c>
    </row>
    <row r="1355" spans="1:2" x14ac:dyDescent="0.25">
      <c r="A1355" s="198">
        <v>43585</v>
      </c>
      <c r="B1355" s="244">
        <v>8.5</v>
      </c>
    </row>
    <row r="1356" spans="1:2" x14ac:dyDescent="0.25">
      <c r="A1356" s="198">
        <v>43587</v>
      </c>
      <c r="B1356" s="244">
        <v>8.5</v>
      </c>
    </row>
    <row r="1357" spans="1:2" x14ac:dyDescent="0.25">
      <c r="A1357" s="198">
        <v>43588</v>
      </c>
      <c r="B1357" s="244">
        <v>8.5054999999999996</v>
      </c>
    </row>
    <row r="1358" spans="1:2" x14ac:dyDescent="0.25">
      <c r="A1358" s="198">
        <v>43591</v>
      </c>
      <c r="B1358" s="244">
        <v>8.5124999999999993</v>
      </c>
    </row>
    <row r="1359" spans="1:2" x14ac:dyDescent="0.25">
      <c r="A1359" s="198">
        <v>43592</v>
      </c>
      <c r="B1359" s="244">
        <v>8.5075000000000003</v>
      </c>
    </row>
    <row r="1360" spans="1:2" x14ac:dyDescent="0.25">
      <c r="A1360" s="198">
        <v>43593</v>
      </c>
      <c r="B1360" s="244">
        <v>8.5086999999999993</v>
      </c>
    </row>
    <row r="1361" spans="1:2" x14ac:dyDescent="0.25">
      <c r="A1361" s="198">
        <v>43594</v>
      </c>
      <c r="B1361" s="244">
        <v>8.5109999999999992</v>
      </c>
    </row>
    <row r="1362" spans="1:2" x14ac:dyDescent="0.25">
      <c r="A1362" s="198">
        <v>43595</v>
      </c>
      <c r="B1362" s="244">
        <v>8.5043000000000006</v>
      </c>
    </row>
    <row r="1363" spans="1:2" x14ac:dyDescent="0.25">
      <c r="A1363" s="198">
        <v>43598</v>
      </c>
      <c r="B1363" s="244">
        <v>8.5061999999999998</v>
      </c>
    </row>
    <row r="1364" spans="1:2" x14ac:dyDescent="0.25">
      <c r="A1364" s="198">
        <v>43599</v>
      </c>
      <c r="B1364" s="244">
        <v>8.5061</v>
      </c>
    </row>
    <row r="1365" spans="1:2" x14ac:dyDescent="0.25">
      <c r="A1365" s="198">
        <v>43600</v>
      </c>
      <c r="B1365" s="244">
        <v>8.5075000000000003</v>
      </c>
    </row>
    <row r="1366" spans="1:2" x14ac:dyDescent="0.25">
      <c r="A1366" s="198">
        <v>43601</v>
      </c>
      <c r="B1366" s="244">
        <v>8.5075000000000003</v>
      </c>
    </row>
    <row r="1367" spans="1:2" x14ac:dyDescent="0.25">
      <c r="A1367" s="198">
        <v>43602</v>
      </c>
      <c r="B1367" s="244">
        <v>8.5050000000000008</v>
      </c>
    </row>
    <row r="1368" spans="1:2" x14ac:dyDescent="0.25">
      <c r="A1368" s="198">
        <v>43605</v>
      </c>
      <c r="B1368" s="244">
        <v>8.5039999999999996</v>
      </c>
    </row>
    <row r="1369" spans="1:2" x14ac:dyDescent="0.25">
      <c r="A1369" s="198">
        <v>43606</v>
      </c>
      <c r="B1369" s="244">
        <v>8.5075000000000003</v>
      </c>
    </row>
    <row r="1370" spans="1:2" x14ac:dyDescent="0.25">
      <c r="A1370" s="198">
        <v>43607</v>
      </c>
      <c r="B1370" s="244">
        <v>8.5066000000000006</v>
      </c>
    </row>
    <row r="1371" spans="1:2" x14ac:dyDescent="0.25">
      <c r="A1371" s="198">
        <v>43608</v>
      </c>
      <c r="B1371" s="244">
        <v>8.5037000000000003</v>
      </c>
    </row>
    <row r="1372" spans="1:2" x14ac:dyDescent="0.25">
      <c r="A1372" s="198">
        <v>43609</v>
      </c>
      <c r="B1372" s="244">
        <v>8.5035000000000007</v>
      </c>
    </row>
    <row r="1373" spans="1:2" x14ac:dyDescent="0.25">
      <c r="A1373" s="198">
        <v>43612</v>
      </c>
      <c r="B1373" s="244">
        <v>8.5075000000000003</v>
      </c>
    </row>
    <row r="1374" spans="1:2" x14ac:dyDescent="0.25">
      <c r="A1374" s="198">
        <v>43613</v>
      </c>
      <c r="B1374" s="244">
        <v>8.5075000000000003</v>
      </c>
    </row>
    <row r="1375" spans="1:2" x14ac:dyDescent="0.25">
      <c r="A1375" s="198">
        <v>43614</v>
      </c>
      <c r="B1375" s="244">
        <v>8.5075000000000003</v>
      </c>
    </row>
    <row r="1376" spans="1:2" x14ac:dyDescent="0.25">
      <c r="A1376" s="198">
        <v>43615</v>
      </c>
      <c r="B1376" s="244">
        <v>8.5070999999999994</v>
      </c>
    </row>
    <row r="1377" spans="1:2" x14ac:dyDescent="0.25">
      <c r="A1377" s="198">
        <v>43616</v>
      </c>
      <c r="B1377" s="244">
        <v>8.5075000000000003</v>
      </c>
    </row>
    <row r="1378" spans="1:2" x14ac:dyDescent="0.25">
      <c r="A1378" s="198">
        <v>43619</v>
      </c>
      <c r="B1378" s="244">
        <v>8.5077999999999996</v>
      </c>
    </row>
    <row r="1379" spans="1:2" x14ac:dyDescent="0.25">
      <c r="A1379" s="198">
        <v>43620</v>
      </c>
      <c r="B1379" s="244">
        <v>8.5114000000000001</v>
      </c>
    </row>
    <row r="1380" spans="1:2" x14ac:dyDescent="0.25">
      <c r="A1380" s="198">
        <v>43621</v>
      </c>
      <c r="B1380" s="244">
        <v>8.5269999999999992</v>
      </c>
    </row>
    <row r="1381" spans="1:2" x14ac:dyDescent="0.25">
      <c r="A1381" s="198">
        <v>43622</v>
      </c>
      <c r="B1381" s="244">
        <v>8.5143000000000004</v>
      </c>
    </row>
    <row r="1382" spans="1:2" x14ac:dyDescent="0.25">
      <c r="A1382" s="198">
        <v>43623</v>
      </c>
      <c r="B1382" s="244">
        <v>8.5138999999999996</v>
      </c>
    </row>
    <row r="1383" spans="1:2" x14ac:dyDescent="0.25">
      <c r="A1383" s="198">
        <v>43626</v>
      </c>
      <c r="B1383" s="244">
        <v>8.5107999999999997</v>
      </c>
    </row>
    <row r="1384" spans="1:2" x14ac:dyDescent="0.25">
      <c r="A1384" s="198">
        <v>43627</v>
      </c>
      <c r="B1384" s="244">
        <v>8.51</v>
      </c>
    </row>
    <row r="1385" spans="1:2" x14ac:dyDescent="0.25">
      <c r="A1385" s="198">
        <v>43628</v>
      </c>
      <c r="B1385" s="244">
        <v>8.5124999999999993</v>
      </c>
    </row>
    <row r="1386" spans="1:2" x14ac:dyDescent="0.25">
      <c r="A1386" s="198">
        <v>43629</v>
      </c>
      <c r="B1386" s="244">
        <v>8.5115999999999996</v>
      </c>
    </row>
    <row r="1387" spans="1:2" x14ac:dyDescent="0.25">
      <c r="A1387" s="198">
        <v>43630</v>
      </c>
      <c r="B1387" s="244">
        <v>8.5105000000000004</v>
      </c>
    </row>
    <row r="1388" spans="1:2" x14ac:dyDescent="0.25">
      <c r="A1388" s="198">
        <v>43633</v>
      </c>
      <c r="B1388" s="244">
        <v>8.5105000000000004</v>
      </c>
    </row>
    <row r="1389" spans="1:2" x14ac:dyDescent="0.25">
      <c r="A1389" s="198">
        <v>43634</v>
      </c>
      <c r="B1389" s="244">
        <v>8.5098000000000003</v>
      </c>
    </row>
    <row r="1390" spans="1:2" x14ac:dyDescent="0.25">
      <c r="A1390" s="198">
        <v>43635</v>
      </c>
      <c r="B1390" s="244">
        <v>8.5088000000000008</v>
      </c>
    </row>
    <row r="1391" spans="1:2" x14ac:dyDescent="0.25">
      <c r="A1391" s="198">
        <v>43636</v>
      </c>
      <c r="B1391" s="244">
        <v>8.5050000000000008</v>
      </c>
    </row>
    <row r="1392" spans="1:2" x14ac:dyDescent="0.25">
      <c r="A1392" s="198">
        <v>43637</v>
      </c>
      <c r="B1392" s="244">
        <v>8.5043000000000006</v>
      </c>
    </row>
    <row r="1393" spans="1:2" x14ac:dyDescent="0.25">
      <c r="A1393" s="198">
        <v>43640</v>
      </c>
      <c r="B1393" s="244">
        <v>8.5038999999999998</v>
      </c>
    </row>
    <row r="1394" spans="1:2" x14ac:dyDescent="0.25">
      <c r="A1394" s="198">
        <v>43641</v>
      </c>
      <c r="B1394" s="244">
        <v>8.4992999999999999</v>
      </c>
    </row>
    <row r="1395" spans="1:2" x14ac:dyDescent="0.25">
      <c r="A1395" s="198">
        <v>43642</v>
      </c>
      <c r="B1395" s="244">
        <v>8.4951000000000008</v>
      </c>
    </row>
    <row r="1396" spans="1:2" x14ac:dyDescent="0.25">
      <c r="A1396" s="198">
        <v>43643</v>
      </c>
      <c r="B1396" s="244">
        <v>8.4949999999999992</v>
      </c>
    </row>
    <row r="1397" spans="1:2" x14ac:dyDescent="0.25">
      <c r="A1397" s="198">
        <v>43644</v>
      </c>
      <c r="B1397" s="244">
        <v>8.4879999999999995</v>
      </c>
    </row>
    <row r="1398" spans="1:2" x14ac:dyDescent="0.25">
      <c r="A1398" s="198">
        <v>43647</v>
      </c>
      <c r="B1398" s="244">
        <v>8.4886999999999997</v>
      </c>
    </row>
    <row r="1399" spans="1:2" x14ac:dyDescent="0.25">
      <c r="A1399" s="198">
        <v>43648</v>
      </c>
      <c r="B1399" s="244">
        <v>8.4849999999999994</v>
      </c>
    </row>
    <row r="1400" spans="1:2" x14ac:dyDescent="0.25">
      <c r="A1400" s="198">
        <v>43649</v>
      </c>
      <c r="B1400" s="244">
        <v>8.4749999999999996</v>
      </c>
    </row>
    <row r="1401" spans="1:2" x14ac:dyDescent="0.25">
      <c r="A1401" s="198">
        <v>43650</v>
      </c>
      <c r="B1401" s="244">
        <v>8.4700000000000006</v>
      </c>
    </row>
    <row r="1402" spans="1:2" x14ac:dyDescent="0.25">
      <c r="A1402" s="198">
        <v>43651</v>
      </c>
      <c r="B1402" s="244">
        <v>8.4748999999999999</v>
      </c>
    </row>
    <row r="1403" spans="1:2" x14ac:dyDescent="0.25">
      <c r="A1403" s="198">
        <v>43654</v>
      </c>
      <c r="B1403" s="244">
        <v>8.4749999999999996</v>
      </c>
    </row>
    <row r="1404" spans="1:2" x14ac:dyDescent="0.25">
      <c r="A1404" s="198">
        <v>43655</v>
      </c>
      <c r="B1404" s="244">
        <v>8.4786999999999999</v>
      </c>
    </row>
    <row r="1405" spans="1:2" x14ac:dyDescent="0.25">
      <c r="A1405" s="198">
        <v>43656</v>
      </c>
      <c r="B1405" s="244">
        <v>8.4763000000000002</v>
      </c>
    </row>
    <row r="1406" spans="1:2" x14ac:dyDescent="0.25">
      <c r="A1406" s="198">
        <v>43657</v>
      </c>
      <c r="B1406" s="244">
        <v>8.48</v>
      </c>
    </row>
    <row r="1407" spans="1:2" x14ac:dyDescent="0.25">
      <c r="A1407" s="198">
        <v>43658</v>
      </c>
      <c r="B1407" s="244">
        <v>8.4725000000000001</v>
      </c>
    </row>
    <row r="1408" spans="1:2" x14ac:dyDescent="0.25">
      <c r="A1408" s="198">
        <v>43661</v>
      </c>
      <c r="B1408" s="244">
        <v>8.4749999999999996</v>
      </c>
    </row>
    <row r="1409" spans="1:2" x14ac:dyDescent="0.25">
      <c r="A1409" s="198">
        <v>43662</v>
      </c>
      <c r="B1409" s="244">
        <v>8.4725000000000001</v>
      </c>
    </row>
    <row r="1410" spans="1:2" x14ac:dyDescent="0.25">
      <c r="A1410" s="198">
        <v>43663</v>
      </c>
      <c r="B1410" s="244">
        <v>8.4725000000000001</v>
      </c>
    </row>
    <row r="1411" spans="1:2" x14ac:dyDescent="0.25">
      <c r="A1411" s="198">
        <v>43664</v>
      </c>
      <c r="B1411" s="244">
        <v>8.4749999999999996</v>
      </c>
    </row>
    <row r="1412" spans="1:2" x14ac:dyDescent="0.25">
      <c r="A1412" s="198">
        <v>43665</v>
      </c>
      <c r="B1412" s="244">
        <v>8.4749999999999996</v>
      </c>
    </row>
    <row r="1413" spans="1:2" x14ac:dyDescent="0.25">
      <c r="A1413" s="198">
        <v>43668</v>
      </c>
      <c r="B1413" s="244">
        <v>8.4774999999999991</v>
      </c>
    </row>
    <row r="1414" spans="1:2" x14ac:dyDescent="0.25">
      <c r="A1414" s="198">
        <v>43669</v>
      </c>
      <c r="B1414" s="244">
        <v>8.4774999999999991</v>
      </c>
    </row>
    <row r="1415" spans="1:2" x14ac:dyDescent="0.25">
      <c r="A1415" s="198">
        <v>43670</v>
      </c>
      <c r="B1415" s="244">
        <v>8.4749999999999996</v>
      </c>
    </row>
    <row r="1416" spans="1:2" x14ac:dyDescent="0.25">
      <c r="A1416" s="198">
        <v>43671</v>
      </c>
      <c r="B1416" s="244">
        <v>8.4774999999999991</v>
      </c>
    </row>
    <row r="1417" spans="1:2" x14ac:dyDescent="0.25">
      <c r="A1417" s="198">
        <v>43672</v>
      </c>
      <c r="B1417" s="244">
        <v>8.4740000000000002</v>
      </c>
    </row>
    <row r="1418" spans="1:2" x14ac:dyDescent="0.25">
      <c r="A1418" s="198">
        <v>43675</v>
      </c>
      <c r="B1418" s="244">
        <v>8.4700000000000006</v>
      </c>
    </row>
    <row r="1419" spans="1:2" x14ac:dyDescent="0.25">
      <c r="A1419" s="198">
        <v>43676</v>
      </c>
      <c r="B1419" s="244">
        <v>8.4674999999999994</v>
      </c>
    </row>
    <row r="1420" spans="1:2" x14ac:dyDescent="0.25">
      <c r="A1420" s="198">
        <v>43677</v>
      </c>
      <c r="B1420" s="244">
        <v>8.4649999999999999</v>
      </c>
    </row>
    <row r="1421" spans="1:2" x14ac:dyDescent="0.25">
      <c r="A1421" s="198">
        <v>43678</v>
      </c>
      <c r="B1421" s="244">
        <v>8.4588999999999999</v>
      </c>
    </row>
    <row r="1422" spans="1:2" x14ac:dyDescent="0.25">
      <c r="A1422" s="198">
        <v>43679</v>
      </c>
      <c r="B1422" s="244">
        <v>8.4574999999999996</v>
      </c>
    </row>
    <row r="1423" spans="1:2" x14ac:dyDescent="0.25">
      <c r="A1423" s="198">
        <v>43682</v>
      </c>
      <c r="B1423" s="244">
        <v>8.4565000000000001</v>
      </c>
    </row>
    <row r="1424" spans="1:2" x14ac:dyDescent="0.25">
      <c r="A1424" s="198">
        <v>43683</v>
      </c>
      <c r="B1424" s="244">
        <v>8.4574999999999996</v>
      </c>
    </row>
    <row r="1425" spans="1:2" x14ac:dyDescent="0.25">
      <c r="A1425" s="198">
        <v>43684</v>
      </c>
      <c r="B1425" s="244">
        <v>8.4536999999999995</v>
      </c>
    </row>
    <row r="1426" spans="1:2" x14ac:dyDescent="0.25">
      <c r="A1426" s="198">
        <v>43685</v>
      </c>
      <c r="B1426" s="244">
        <v>8.4525000000000006</v>
      </c>
    </row>
    <row r="1427" spans="1:2" x14ac:dyDescent="0.25">
      <c r="A1427" s="198">
        <v>43686</v>
      </c>
      <c r="B1427" s="244">
        <v>8.4489999999999998</v>
      </c>
    </row>
    <row r="1428" spans="1:2" x14ac:dyDescent="0.25">
      <c r="A1428" s="198">
        <v>43689</v>
      </c>
      <c r="B1428" s="244">
        <v>8.4450000000000003</v>
      </c>
    </row>
    <row r="1429" spans="1:2" x14ac:dyDescent="0.25">
      <c r="A1429" s="198">
        <v>43690</v>
      </c>
      <c r="B1429" s="244">
        <v>8.4405000000000001</v>
      </c>
    </row>
    <row r="1430" spans="1:2" x14ac:dyDescent="0.25">
      <c r="A1430" s="198">
        <v>43691</v>
      </c>
      <c r="B1430" s="244">
        <v>8.4354999999999993</v>
      </c>
    </row>
    <row r="1431" spans="1:2" x14ac:dyDescent="0.25">
      <c r="A1431" s="198">
        <v>43692</v>
      </c>
      <c r="B1431" s="244">
        <v>8.4324999999999992</v>
      </c>
    </row>
    <row r="1432" spans="1:2" x14ac:dyDescent="0.25">
      <c r="A1432" s="198">
        <v>43693</v>
      </c>
      <c r="B1432" s="244">
        <v>8.4261999999999997</v>
      </c>
    </row>
    <row r="1433" spans="1:2" x14ac:dyDescent="0.25">
      <c r="A1433" s="198">
        <v>43696</v>
      </c>
      <c r="B1433" s="244">
        <v>8.2799999999999994</v>
      </c>
    </row>
    <row r="1434" spans="1:2" x14ac:dyDescent="0.25">
      <c r="A1434" s="198">
        <v>43697</v>
      </c>
      <c r="B1434" s="244">
        <v>8.2850000000000001</v>
      </c>
    </row>
    <row r="1435" spans="1:2" x14ac:dyDescent="0.25">
      <c r="A1435" s="198">
        <v>43698</v>
      </c>
      <c r="B1435" s="244">
        <v>8.2825000000000006</v>
      </c>
    </row>
    <row r="1436" spans="1:2" x14ac:dyDescent="0.25">
      <c r="A1436" s="198">
        <v>43699</v>
      </c>
      <c r="B1436" s="244">
        <v>8.282</v>
      </c>
    </row>
    <row r="1437" spans="1:2" x14ac:dyDescent="0.25">
      <c r="A1437" s="198">
        <v>43700</v>
      </c>
      <c r="B1437" s="244">
        <v>8.2784999999999993</v>
      </c>
    </row>
    <row r="1438" spans="1:2" x14ac:dyDescent="0.25">
      <c r="A1438" s="198">
        <v>43703</v>
      </c>
      <c r="B1438" s="244">
        <v>8.2774999999999999</v>
      </c>
    </row>
    <row r="1439" spans="1:2" x14ac:dyDescent="0.25">
      <c r="A1439" s="198">
        <v>43704</v>
      </c>
      <c r="B1439" s="244">
        <v>8.2750000000000004</v>
      </c>
    </row>
    <row r="1440" spans="1:2" x14ac:dyDescent="0.25">
      <c r="A1440" s="198">
        <v>43705</v>
      </c>
      <c r="B1440" s="244">
        <v>8.2750000000000004</v>
      </c>
    </row>
    <row r="1441" spans="1:2" x14ac:dyDescent="0.25">
      <c r="A1441" s="198">
        <v>43706</v>
      </c>
      <c r="B1441" s="244">
        <v>8.2725000000000009</v>
      </c>
    </row>
    <row r="1442" spans="1:2" x14ac:dyDescent="0.25">
      <c r="A1442" s="198">
        <v>43707</v>
      </c>
      <c r="B1442" s="244">
        <v>8.2624999999999993</v>
      </c>
    </row>
    <row r="1443" spans="1:2" x14ac:dyDescent="0.25">
      <c r="A1443" s="198">
        <v>43710</v>
      </c>
      <c r="B1443" s="244">
        <v>8.26</v>
      </c>
    </row>
    <row r="1444" spans="1:2" x14ac:dyDescent="0.25">
      <c r="A1444" s="198">
        <v>43711</v>
      </c>
      <c r="B1444" s="244">
        <v>8.2524999999999995</v>
      </c>
    </row>
    <row r="1445" spans="1:2" x14ac:dyDescent="0.25">
      <c r="A1445" s="198">
        <v>43712</v>
      </c>
      <c r="B1445" s="244">
        <v>8.24</v>
      </c>
    </row>
    <row r="1446" spans="1:2" x14ac:dyDescent="0.25">
      <c r="A1446" s="198">
        <v>43713</v>
      </c>
      <c r="B1446" s="244">
        <v>8.2349999999999994</v>
      </c>
    </row>
    <row r="1447" spans="1:2" x14ac:dyDescent="0.25">
      <c r="A1447" s="198">
        <v>43714</v>
      </c>
      <c r="B1447" s="244">
        <v>8.2230000000000008</v>
      </c>
    </row>
    <row r="1448" spans="1:2" x14ac:dyDescent="0.25">
      <c r="A1448" s="198">
        <v>43717</v>
      </c>
      <c r="B1448" s="244">
        <v>8.2225000000000001</v>
      </c>
    </row>
    <row r="1449" spans="1:2" x14ac:dyDescent="0.25">
      <c r="A1449" s="198">
        <v>43718</v>
      </c>
      <c r="B1449" s="244">
        <v>8.2225000000000001</v>
      </c>
    </row>
    <row r="1450" spans="1:2" x14ac:dyDescent="0.25">
      <c r="A1450" s="198">
        <v>43719</v>
      </c>
      <c r="B1450" s="244">
        <v>8.2174999999999994</v>
      </c>
    </row>
    <row r="1451" spans="1:2" x14ac:dyDescent="0.25">
      <c r="A1451" s="198">
        <v>43720</v>
      </c>
      <c r="B1451" s="244">
        <v>8.2100000000000009</v>
      </c>
    </row>
    <row r="1452" spans="1:2" x14ac:dyDescent="0.25">
      <c r="A1452" s="198">
        <v>43721</v>
      </c>
      <c r="B1452" s="244">
        <v>8.2070000000000007</v>
      </c>
    </row>
    <row r="1453" spans="1:2" x14ac:dyDescent="0.25">
      <c r="A1453" s="198">
        <v>43725</v>
      </c>
      <c r="B1453" s="244">
        <v>8.1999999999999993</v>
      </c>
    </row>
    <row r="1454" spans="1:2" x14ac:dyDescent="0.25">
      <c r="A1454" s="198">
        <v>43726</v>
      </c>
      <c r="B1454" s="244">
        <v>8.1984999999999992</v>
      </c>
    </row>
    <row r="1455" spans="1:2" x14ac:dyDescent="0.25">
      <c r="A1455" s="198">
        <v>43727</v>
      </c>
      <c r="B1455" s="244">
        <v>8.1950000000000003</v>
      </c>
    </row>
    <row r="1456" spans="1:2" x14ac:dyDescent="0.25">
      <c r="A1456" s="198">
        <v>43728</v>
      </c>
      <c r="B1456" s="244">
        <v>8.19</v>
      </c>
    </row>
    <row r="1457" spans="1:2" x14ac:dyDescent="0.25">
      <c r="A1457" s="198">
        <v>43731</v>
      </c>
      <c r="B1457" s="244">
        <v>8.1850000000000005</v>
      </c>
    </row>
    <row r="1458" spans="1:2" x14ac:dyDescent="0.25">
      <c r="A1458" s="198">
        <v>43732</v>
      </c>
      <c r="B1458" s="244">
        <v>8.1824999999999992</v>
      </c>
    </row>
    <row r="1459" spans="1:2" x14ac:dyDescent="0.25">
      <c r="A1459" s="198">
        <v>43733</v>
      </c>
      <c r="B1459" s="244">
        <v>8.1675000000000004</v>
      </c>
    </row>
    <row r="1460" spans="1:2" x14ac:dyDescent="0.25">
      <c r="A1460" s="198">
        <v>43734</v>
      </c>
      <c r="B1460" s="244">
        <v>8.1624999999999996</v>
      </c>
    </row>
    <row r="1461" spans="1:2" x14ac:dyDescent="0.25">
      <c r="A1461" s="198">
        <v>43735</v>
      </c>
      <c r="B1461" s="244">
        <v>8.1311999999999998</v>
      </c>
    </row>
    <row r="1462" spans="1:2" x14ac:dyDescent="0.25">
      <c r="A1462" s="198">
        <v>43738</v>
      </c>
      <c r="B1462" s="244">
        <v>8.0399999999999991</v>
      </c>
    </row>
    <row r="1463" spans="1:2" x14ac:dyDescent="0.25">
      <c r="A1463" s="198">
        <v>43739</v>
      </c>
      <c r="B1463" s="244">
        <v>8.0274999999999999</v>
      </c>
    </row>
    <row r="1464" spans="1:2" x14ac:dyDescent="0.25">
      <c r="A1464" s="198">
        <v>43740</v>
      </c>
      <c r="B1464" s="244">
        <v>8.0150000000000006</v>
      </c>
    </row>
    <row r="1465" spans="1:2" x14ac:dyDescent="0.25">
      <c r="A1465" s="198">
        <v>43741</v>
      </c>
      <c r="B1465" s="244">
        <v>8.0150000000000006</v>
      </c>
    </row>
    <row r="1466" spans="1:2" x14ac:dyDescent="0.25">
      <c r="A1466" s="198">
        <v>43742</v>
      </c>
      <c r="B1466" s="244">
        <v>8.0075000000000003</v>
      </c>
    </row>
    <row r="1467" spans="1:2" x14ac:dyDescent="0.25">
      <c r="A1467" s="198">
        <v>43745</v>
      </c>
      <c r="B1467" s="244">
        <v>8.0050000000000008</v>
      </c>
    </row>
    <row r="1468" spans="1:2" x14ac:dyDescent="0.25">
      <c r="A1468" s="198">
        <v>43746</v>
      </c>
      <c r="B1468" s="244">
        <v>8.0024999999999995</v>
      </c>
    </row>
    <row r="1469" spans="1:2" x14ac:dyDescent="0.25">
      <c r="A1469" s="198">
        <v>43747</v>
      </c>
      <c r="B1469" s="244">
        <v>8.0012000000000008</v>
      </c>
    </row>
    <row r="1470" spans="1:2" x14ac:dyDescent="0.25">
      <c r="A1470" s="198">
        <v>43748</v>
      </c>
      <c r="B1470" s="244">
        <v>8.0050000000000008</v>
      </c>
    </row>
    <row r="1471" spans="1:2" x14ac:dyDescent="0.25">
      <c r="A1471" s="198">
        <v>43749</v>
      </c>
      <c r="B1471" s="244">
        <v>8.0050000000000008</v>
      </c>
    </row>
    <row r="1472" spans="1:2" x14ac:dyDescent="0.25">
      <c r="A1472" s="198">
        <v>43752</v>
      </c>
      <c r="B1472" s="244">
        <v>8.0024999999999995</v>
      </c>
    </row>
    <row r="1473" spans="1:2" x14ac:dyDescent="0.25">
      <c r="A1473" s="198">
        <v>43753</v>
      </c>
      <c r="B1473" s="244">
        <v>7.9987000000000004</v>
      </c>
    </row>
    <row r="1474" spans="1:2" x14ac:dyDescent="0.25">
      <c r="A1474" s="198">
        <v>43754</v>
      </c>
      <c r="B1474" s="244">
        <v>7.9974999999999996</v>
      </c>
    </row>
    <row r="1475" spans="1:2" x14ac:dyDescent="0.25">
      <c r="A1475" s="198">
        <v>43755</v>
      </c>
      <c r="B1475" s="244">
        <v>7.9974999999999996</v>
      </c>
    </row>
    <row r="1476" spans="1:2" x14ac:dyDescent="0.25">
      <c r="A1476" s="198">
        <v>43756</v>
      </c>
      <c r="B1476" s="244">
        <v>7.9950000000000001</v>
      </c>
    </row>
    <row r="1477" spans="1:2" x14ac:dyDescent="0.25">
      <c r="A1477" s="198">
        <v>43759</v>
      </c>
      <c r="B1477" s="244">
        <v>7.9962</v>
      </c>
    </row>
    <row r="1478" spans="1:2" x14ac:dyDescent="0.25">
      <c r="A1478" s="198">
        <v>43760</v>
      </c>
      <c r="B1478" s="244">
        <v>7.9931000000000001</v>
      </c>
    </row>
    <row r="1479" spans="1:2" x14ac:dyDescent="0.25">
      <c r="A1479" s="198">
        <v>43761</v>
      </c>
      <c r="B1479" s="244">
        <v>7.9974999999999996</v>
      </c>
    </row>
    <row r="1480" spans="1:2" x14ac:dyDescent="0.25">
      <c r="A1480" s="198">
        <v>43762</v>
      </c>
      <c r="B1480" s="244">
        <v>7.9935</v>
      </c>
    </row>
    <row r="1481" spans="1:2" x14ac:dyDescent="0.25">
      <c r="A1481" s="198">
        <v>43763</v>
      </c>
      <c r="B1481" s="244">
        <v>7.9915000000000003</v>
      </c>
    </row>
    <row r="1482" spans="1:2" x14ac:dyDescent="0.25">
      <c r="A1482" s="198">
        <v>43766</v>
      </c>
      <c r="B1482" s="244">
        <v>7.9856999999999996</v>
      </c>
    </row>
    <row r="1483" spans="1:2" x14ac:dyDescent="0.25">
      <c r="A1483" s="198">
        <v>43767</v>
      </c>
      <c r="B1483" s="244">
        <v>7.9850000000000003</v>
      </c>
    </row>
    <row r="1484" spans="1:2" x14ac:dyDescent="0.25">
      <c r="A1484" s="198">
        <v>43768</v>
      </c>
      <c r="B1484" s="244">
        <v>7.98</v>
      </c>
    </row>
    <row r="1485" spans="1:2" x14ac:dyDescent="0.25">
      <c r="A1485" s="198">
        <v>43769</v>
      </c>
      <c r="B1485" s="244">
        <v>7.9705000000000004</v>
      </c>
    </row>
    <row r="1486" spans="1:2" x14ac:dyDescent="0.25">
      <c r="A1486" s="198">
        <v>43770</v>
      </c>
      <c r="B1486" s="244">
        <v>7.9625000000000004</v>
      </c>
    </row>
    <row r="1487" spans="1:2" x14ac:dyDescent="0.25">
      <c r="A1487" s="198">
        <v>43773</v>
      </c>
      <c r="B1487" s="244">
        <v>7.96</v>
      </c>
    </row>
    <row r="1488" spans="1:2" x14ac:dyDescent="0.25">
      <c r="A1488" s="198">
        <v>43774</v>
      </c>
      <c r="B1488" s="244">
        <v>7.9550000000000001</v>
      </c>
    </row>
    <row r="1489" spans="1:2" x14ac:dyDescent="0.25">
      <c r="A1489" s="198">
        <v>43775</v>
      </c>
      <c r="B1489" s="244">
        <v>7.9524999999999997</v>
      </c>
    </row>
    <row r="1490" spans="1:2" x14ac:dyDescent="0.25">
      <c r="A1490" s="198">
        <v>43776</v>
      </c>
      <c r="B1490" s="244">
        <v>7.9470000000000001</v>
      </c>
    </row>
    <row r="1491" spans="1:2" x14ac:dyDescent="0.25">
      <c r="A1491" s="198">
        <v>43777</v>
      </c>
      <c r="B1491" s="244">
        <v>7.9450000000000003</v>
      </c>
    </row>
    <row r="1492" spans="1:2" x14ac:dyDescent="0.25">
      <c r="A1492" s="198">
        <v>43780</v>
      </c>
      <c r="B1492" s="244">
        <v>7.9450000000000003</v>
      </c>
    </row>
    <row r="1493" spans="1:2" x14ac:dyDescent="0.25">
      <c r="A1493" s="198">
        <v>43781</v>
      </c>
      <c r="B1493" s="244">
        <v>7.9412000000000003</v>
      </c>
    </row>
    <row r="1494" spans="1:2" x14ac:dyDescent="0.25">
      <c r="A1494" s="198">
        <v>43782</v>
      </c>
      <c r="B1494" s="244">
        <v>7.9325000000000001</v>
      </c>
    </row>
    <row r="1495" spans="1:2" x14ac:dyDescent="0.25">
      <c r="A1495" s="198">
        <v>43783</v>
      </c>
      <c r="B1495" s="244">
        <v>7.9211999999999998</v>
      </c>
    </row>
    <row r="1496" spans="1:2" x14ac:dyDescent="0.25">
      <c r="A1496" s="198">
        <v>43784</v>
      </c>
      <c r="B1496" s="244">
        <v>7.8913000000000002</v>
      </c>
    </row>
    <row r="1497" spans="1:2" x14ac:dyDescent="0.25">
      <c r="A1497" s="198">
        <v>43788</v>
      </c>
      <c r="B1497" s="244">
        <v>7.8025000000000002</v>
      </c>
    </row>
    <row r="1498" spans="1:2" x14ac:dyDescent="0.25">
      <c r="A1498" s="198">
        <v>43789</v>
      </c>
      <c r="B1498" s="244">
        <v>7.7949999999999999</v>
      </c>
    </row>
    <row r="1499" spans="1:2" x14ac:dyDescent="0.25">
      <c r="A1499" s="198">
        <v>43790</v>
      </c>
      <c r="B1499" s="244">
        <v>7.7925000000000004</v>
      </c>
    </row>
    <row r="1500" spans="1:2" x14ac:dyDescent="0.25">
      <c r="A1500" s="198">
        <v>43791</v>
      </c>
      <c r="B1500" s="244">
        <v>7.79</v>
      </c>
    </row>
    <row r="1501" spans="1:2" x14ac:dyDescent="0.25">
      <c r="A1501" s="198">
        <v>43794</v>
      </c>
      <c r="B1501" s="244">
        <v>7.7874999999999996</v>
      </c>
    </row>
    <row r="1502" spans="1:2" x14ac:dyDescent="0.25">
      <c r="A1502" s="198">
        <v>43795</v>
      </c>
      <c r="B1502" s="244">
        <v>7.7836999999999996</v>
      </c>
    </row>
    <row r="1503" spans="1:2" x14ac:dyDescent="0.25">
      <c r="A1503" s="198">
        <v>43796</v>
      </c>
      <c r="B1503" s="244">
        <v>7.7850000000000001</v>
      </c>
    </row>
    <row r="1504" spans="1:2" x14ac:dyDescent="0.25">
      <c r="A1504" s="198">
        <v>43797</v>
      </c>
      <c r="B1504" s="244">
        <v>7.7824999999999998</v>
      </c>
    </row>
    <row r="1505" spans="1:2" x14ac:dyDescent="0.25">
      <c r="A1505" s="198">
        <v>43798</v>
      </c>
      <c r="B1505" s="244">
        <v>7.7812000000000001</v>
      </c>
    </row>
    <row r="1506" spans="1:2" x14ac:dyDescent="0.25">
      <c r="A1506" s="198">
        <v>43801</v>
      </c>
      <c r="B1506" s="244">
        <v>7.7804000000000002</v>
      </c>
    </row>
    <row r="1507" spans="1:2" x14ac:dyDescent="0.25">
      <c r="A1507" s="198">
        <v>43802</v>
      </c>
      <c r="B1507" s="244">
        <v>7.7801999999999998</v>
      </c>
    </row>
    <row r="1508" spans="1:2" x14ac:dyDescent="0.25">
      <c r="A1508" s="198">
        <v>43803</v>
      </c>
      <c r="B1508" s="244">
        <v>7.7801</v>
      </c>
    </row>
    <row r="1509" spans="1:2" x14ac:dyDescent="0.25">
      <c r="A1509" s="198">
        <v>43804</v>
      </c>
      <c r="B1509" s="244">
        <v>7.7750000000000004</v>
      </c>
    </row>
    <row r="1510" spans="1:2" x14ac:dyDescent="0.25">
      <c r="A1510" s="198">
        <v>43805</v>
      </c>
      <c r="B1510" s="244">
        <v>7.7725</v>
      </c>
    </row>
    <row r="1511" spans="1:2" x14ac:dyDescent="0.25">
      <c r="A1511" s="198">
        <v>43808</v>
      </c>
      <c r="B1511" s="244">
        <v>7.7709999999999999</v>
      </c>
    </row>
    <row r="1512" spans="1:2" x14ac:dyDescent="0.25">
      <c r="A1512" s="198">
        <v>43809</v>
      </c>
      <c r="B1512" s="244">
        <v>7.7460000000000004</v>
      </c>
    </row>
    <row r="1513" spans="1:2" x14ac:dyDescent="0.25">
      <c r="A1513" s="198">
        <v>43810</v>
      </c>
      <c r="B1513" s="244">
        <v>7.75</v>
      </c>
    </row>
    <row r="1514" spans="1:2" x14ac:dyDescent="0.25">
      <c r="A1514" s="198">
        <v>43812</v>
      </c>
      <c r="B1514" s="244">
        <v>7.7424999999999997</v>
      </c>
    </row>
    <row r="1515" spans="1:2" x14ac:dyDescent="0.25">
      <c r="A1515" s="198">
        <v>43815</v>
      </c>
      <c r="B1515" s="244">
        <v>7.7412000000000001</v>
      </c>
    </row>
    <row r="1516" spans="1:2" x14ac:dyDescent="0.25">
      <c r="A1516" s="198">
        <v>43816</v>
      </c>
      <c r="B1516" s="244">
        <v>7.7401</v>
      </c>
    </row>
    <row r="1517" spans="1:2" x14ac:dyDescent="0.25">
      <c r="A1517" s="198">
        <v>43817</v>
      </c>
      <c r="B1517" s="244">
        <v>7.73</v>
      </c>
    </row>
    <row r="1518" spans="1:2" x14ac:dyDescent="0.25">
      <c r="A1518" s="198">
        <v>43818</v>
      </c>
      <c r="B1518" s="244">
        <v>7.72</v>
      </c>
    </row>
    <row r="1519" spans="1:2" x14ac:dyDescent="0.25">
      <c r="A1519" s="198">
        <v>43819</v>
      </c>
      <c r="B1519" s="244">
        <v>7.7095000000000002</v>
      </c>
    </row>
    <row r="1520" spans="1:2" x14ac:dyDescent="0.25">
      <c r="A1520" s="198">
        <v>43822</v>
      </c>
      <c r="B1520" s="244">
        <v>7.58</v>
      </c>
    </row>
    <row r="1521" spans="1:2" x14ac:dyDescent="0.25">
      <c r="A1521" s="198">
        <v>43823</v>
      </c>
      <c r="B1521" s="244">
        <v>7.5674999999999999</v>
      </c>
    </row>
    <row r="1522" spans="1:2" x14ac:dyDescent="0.25">
      <c r="A1522" s="198">
        <v>43825</v>
      </c>
      <c r="B1522" s="244">
        <v>7.5650000000000004</v>
      </c>
    </row>
    <row r="1523" spans="1:2" x14ac:dyDescent="0.25">
      <c r="A1523" s="198">
        <v>43826</v>
      </c>
      <c r="B1523" s="244">
        <v>7.5625</v>
      </c>
    </row>
    <row r="1524" spans="1:2" x14ac:dyDescent="0.25">
      <c r="A1524" s="198">
        <v>43829</v>
      </c>
      <c r="B1524" s="244">
        <v>7.5614999999999997</v>
      </c>
    </row>
    <row r="1525" spans="1:2" x14ac:dyDescent="0.25">
      <c r="A1525" s="198">
        <v>43830</v>
      </c>
      <c r="B1525" s="244">
        <v>7.5555000000000003</v>
      </c>
    </row>
    <row r="1526" spans="1:2" x14ac:dyDescent="0.25">
      <c r="A1526" s="198">
        <v>43832</v>
      </c>
      <c r="B1526" s="244">
        <v>7.5549999999999997</v>
      </c>
    </row>
    <row r="1527" spans="1:2" x14ac:dyDescent="0.25">
      <c r="A1527" s="198">
        <v>43833</v>
      </c>
      <c r="B1527" s="244">
        <v>7.5525000000000002</v>
      </c>
    </row>
    <row r="1528" spans="1:2" x14ac:dyDescent="0.25">
      <c r="A1528" s="198">
        <v>43836</v>
      </c>
      <c r="B1528" s="244">
        <v>7.5495000000000001</v>
      </c>
    </row>
    <row r="1529" spans="1:2" x14ac:dyDescent="0.25">
      <c r="A1529" s="198">
        <v>43837</v>
      </c>
      <c r="B1529" s="244">
        <v>7.5475000000000003</v>
      </c>
    </row>
    <row r="1530" spans="1:2" x14ac:dyDescent="0.25">
      <c r="A1530" s="198">
        <v>43838</v>
      </c>
      <c r="B1530" s="244">
        <v>7.5449999999999999</v>
      </c>
    </row>
    <row r="1531" spans="1:2" x14ac:dyDescent="0.25">
      <c r="A1531" s="198">
        <v>43839</v>
      </c>
      <c r="B1531" s="244">
        <v>7.5425000000000004</v>
      </c>
    </row>
    <row r="1532" spans="1:2" x14ac:dyDescent="0.25">
      <c r="A1532" s="198">
        <v>43840</v>
      </c>
      <c r="B1532" s="244">
        <v>7.5425000000000004</v>
      </c>
    </row>
    <row r="1533" spans="1:2" x14ac:dyDescent="0.25">
      <c r="A1533" s="198">
        <v>43843</v>
      </c>
      <c r="B1533" s="244">
        <v>7.5401999999999996</v>
      </c>
    </row>
    <row r="1534" spans="1:2" x14ac:dyDescent="0.25">
      <c r="A1534" s="198">
        <v>43844</v>
      </c>
      <c r="B1534" s="244">
        <v>7.5381</v>
      </c>
    </row>
    <row r="1535" spans="1:2" x14ac:dyDescent="0.25">
      <c r="A1535" s="198">
        <v>43845</v>
      </c>
      <c r="B1535" s="244">
        <v>7.5374999999999996</v>
      </c>
    </row>
    <row r="1536" spans="1:2" x14ac:dyDescent="0.25">
      <c r="A1536" s="198">
        <v>43846</v>
      </c>
      <c r="B1536" s="244">
        <v>7.53</v>
      </c>
    </row>
    <row r="1537" spans="1:2" x14ac:dyDescent="0.25">
      <c r="A1537" s="198">
        <v>43847</v>
      </c>
      <c r="B1537" s="244">
        <v>7.5250000000000004</v>
      </c>
    </row>
    <row r="1538" spans="1:2" x14ac:dyDescent="0.25">
      <c r="A1538" s="198">
        <v>43850</v>
      </c>
      <c r="B1538" s="244">
        <v>7.53</v>
      </c>
    </row>
    <row r="1539" spans="1:2" x14ac:dyDescent="0.25">
      <c r="A1539" s="198">
        <v>43851</v>
      </c>
      <c r="B1539" s="244">
        <v>7.5250000000000004</v>
      </c>
    </row>
    <row r="1540" spans="1:2" x14ac:dyDescent="0.25">
      <c r="A1540" s="198">
        <v>43852</v>
      </c>
      <c r="B1540" s="244">
        <v>7.5225</v>
      </c>
    </row>
    <row r="1541" spans="1:2" x14ac:dyDescent="0.25">
      <c r="A1541" s="198">
        <v>43853</v>
      </c>
      <c r="B1541" s="244">
        <v>7.5214999999999996</v>
      </c>
    </row>
    <row r="1542" spans="1:2" x14ac:dyDescent="0.25">
      <c r="A1542" s="198">
        <v>43854</v>
      </c>
      <c r="B1542" s="244">
        <v>7.5225</v>
      </c>
    </row>
    <row r="1543" spans="1:2" x14ac:dyDescent="0.25">
      <c r="A1543" s="198">
        <v>43857</v>
      </c>
      <c r="B1543" s="244">
        <v>7.5202</v>
      </c>
    </row>
    <row r="1544" spans="1:2" x14ac:dyDescent="0.25">
      <c r="A1544" s="198">
        <v>43858</v>
      </c>
      <c r="B1544" s="244">
        <v>7.51</v>
      </c>
    </row>
    <row r="1545" spans="1:2" x14ac:dyDescent="0.25">
      <c r="A1545" s="198">
        <v>43859</v>
      </c>
      <c r="B1545" s="244">
        <v>7.5065</v>
      </c>
    </row>
    <row r="1546" spans="1:2" x14ac:dyDescent="0.25">
      <c r="A1546" s="198">
        <v>43860</v>
      </c>
      <c r="B1546" s="244">
        <v>7.5025000000000004</v>
      </c>
    </row>
    <row r="1547" spans="1:2" x14ac:dyDescent="0.25">
      <c r="A1547" s="198">
        <v>43861</v>
      </c>
      <c r="B1547" s="244">
        <v>7.5002000000000004</v>
      </c>
    </row>
    <row r="1548" spans="1:2" x14ac:dyDescent="0.25">
      <c r="A1548" s="198">
        <v>43865</v>
      </c>
      <c r="B1548" s="244">
        <v>7.4950999999999999</v>
      </c>
    </row>
    <row r="1549" spans="1:2" x14ac:dyDescent="0.25">
      <c r="A1549" s="198">
        <v>43866</v>
      </c>
      <c r="B1549" s="244">
        <v>7.4936999999999996</v>
      </c>
    </row>
    <row r="1550" spans="1:2" x14ac:dyDescent="0.25">
      <c r="A1550" s="198">
        <v>43867</v>
      </c>
      <c r="B1550" s="244">
        <v>7.4924999999999997</v>
      </c>
    </row>
    <row r="1551" spans="1:2" x14ac:dyDescent="0.25">
      <c r="A1551" s="198">
        <v>43868</v>
      </c>
      <c r="B1551" s="244">
        <v>7.4915000000000003</v>
      </c>
    </row>
    <row r="1552" spans="1:2" x14ac:dyDescent="0.25">
      <c r="A1552" s="198">
        <v>43871</v>
      </c>
      <c r="B1552" s="244">
        <v>7.4892000000000003</v>
      </c>
    </row>
    <row r="1553" spans="1:2" x14ac:dyDescent="0.25">
      <c r="A1553" s="198">
        <v>43872</v>
      </c>
      <c r="B1553" s="244">
        <v>7.4874999999999998</v>
      </c>
    </row>
    <row r="1554" spans="1:2" x14ac:dyDescent="0.25">
      <c r="A1554" s="198">
        <v>43873</v>
      </c>
      <c r="B1554" s="244">
        <v>7.4836999999999998</v>
      </c>
    </row>
    <row r="1555" spans="1:2" x14ac:dyDescent="0.25">
      <c r="A1555" s="198">
        <v>43874</v>
      </c>
      <c r="B1555" s="244">
        <v>7.4812000000000003</v>
      </c>
    </row>
    <row r="1556" spans="1:2" x14ac:dyDescent="0.25">
      <c r="A1556" s="198">
        <v>43875</v>
      </c>
      <c r="B1556" s="244">
        <v>7.45</v>
      </c>
    </row>
    <row r="1557" spans="1:2" x14ac:dyDescent="0.25">
      <c r="A1557" s="198">
        <v>43878</v>
      </c>
      <c r="B1557" s="244">
        <v>7.33</v>
      </c>
    </row>
    <row r="1558" spans="1:2" x14ac:dyDescent="0.25">
      <c r="A1558" s="198">
        <v>43879</v>
      </c>
      <c r="B1558" s="244">
        <v>7.3150000000000004</v>
      </c>
    </row>
    <row r="1559" spans="1:2" x14ac:dyDescent="0.25">
      <c r="A1559" s="198">
        <v>43880</v>
      </c>
      <c r="B1559" s="244">
        <v>7.31</v>
      </c>
    </row>
    <row r="1560" spans="1:2" x14ac:dyDescent="0.25">
      <c r="A1560" s="198">
        <v>43881</v>
      </c>
      <c r="B1560" s="244">
        <v>7.3049999999999997</v>
      </c>
    </row>
    <row r="1561" spans="1:2" x14ac:dyDescent="0.25">
      <c r="A1561" s="198">
        <v>43882</v>
      </c>
      <c r="B1561" s="244">
        <v>7.3011999999999997</v>
      </c>
    </row>
    <row r="1562" spans="1:2" x14ac:dyDescent="0.25">
      <c r="A1562" s="198">
        <v>43885</v>
      </c>
      <c r="B1562" s="244">
        <v>7.3029999999999999</v>
      </c>
    </row>
    <row r="1563" spans="1:2" x14ac:dyDescent="0.25">
      <c r="A1563" s="198">
        <v>43886</v>
      </c>
      <c r="B1563" s="244">
        <v>7.3014999999999999</v>
      </c>
    </row>
    <row r="1564" spans="1:2" x14ac:dyDescent="0.25">
      <c r="A1564" s="198">
        <v>43887</v>
      </c>
      <c r="B1564" s="244">
        <v>7.3</v>
      </c>
    </row>
    <row r="1565" spans="1:2" x14ac:dyDescent="0.25">
      <c r="A1565" s="198">
        <v>43888</v>
      </c>
      <c r="B1565" s="244">
        <v>7.2949999999999999</v>
      </c>
    </row>
    <row r="1566" spans="1:2" x14ac:dyDescent="0.25">
      <c r="A1566" s="198">
        <v>43889</v>
      </c>
      <c r="B1566" s="244">
        <v>7.2949999999999999</v>
      </c>
    </row>
    <row r="1567" spans="1:2" x14ac:dyDescent="0.25">
      <c r="A1567" s="198">
        <v>43892</v>
      </c>
      <c r="B1567" s="244">
        <v>7.2925000000000004</v>
      </c>
    </row>
    <row r="1568" spans="1:2" x14ac:dyDescent="0.25">
      <c r="A1568" s="198">
        <v>43893</v>
      </c>
      <c r="B1568" s="244">
        <v>7.2812000000000001</v>
      </c>
    </row>
    <row r="1569" spans="1:2" x14ac:dyDescent="0.25">
      <c r="A1569" s="198">
        <v>43894</v>
      </c>
      <c r="B1569" s="244">
        <v>7.2649999999999997</v>
      </c>
    </row>
    <row r="1570" spans="1:2" x14ac:dyDescent="0.25">
      <c r="A1570" s="198">
        <v>43895</v>
      </c>
      <c r="B1570" s="244">
        <v>7.2525000000000004</v>
      </c>
    </row>
    <row r="1571" spans="1:2" x14ac:dyDescent="0.25">
      <c r="A1571" s="198">
        <v>43896</v>
      </c>
      <c r="B1571" s="244">
        <v>7.2412000000000001</v>
      </c>
    </row>
    <row r="1572" spans="1:2" x14ac:dyDescent="0.25">
      <c r="A1572" s="198">
        <v>43899</v>
      </c>
      <c r="B1572" s="244">
        <v>7.2350000000000003</v>
      </c>
    </row>
    <row r="1573" spans="1:2" x14ac:dyDescent="0.25">
      <c r="A1573" s="198">
        <v>43900</v>
      </c>
      <c r="B1573" s="244">
        <v>7.2275</v>
      </c>
    </row>
    <row r="1574" spans="1:2" x14ac:dyDescent="0.25">
      <c r="A1574" s="198">
        <v>43901</v>
      </c>
      <c r="B1574" s="244">
        <v>7.2262000000000004</v>
      </c>
    </row>
    <row r="1575" spans="1:2" x14ac:dyDescent="0.25">
      <c r="A1575" s="198">
        <v>43902</v>
      </c>
      <c r="B1575" s="244">
        <v>7.2175000000000002</v>
      </c>
    </row>
    <row r="1576" spans="1:2" x14ac:dyDescent="0.25">
      <c r="A1576" s="198">
        <v>43903</v>
      </c>
      <c r="B1576" s="244">
        <v>7.2187000000000001</v>
      </c>
    </row>
    <row r="1577" spans="1:2" x14ac:dyDescent="0.25">
      <c r="A1577" s="198">
        <v>43907</v>
      </c>
      <c r="B1577" s="244">
        <v>7.2169999999999996</v>
      </c>
    </row>
    <row r="1578" spans="1:2" x14ac:dyDescent="0.25">
      <c r="A1578" s="198">
        <v>43908</v>
      </c>
      <c r="B1578" s="244">
        <v>7.21</v>
      </c>
    </row>
    <row r="1579" spans="1:2" x14ac:dyDescent="0.25">
      <c r="A1579" s="198">
        <v>43909</v>
      </c>
      <c r="B1579" s="244">
        <v>7.2074999999999996</v>
      </c>
    </row>
    <row r="1580" spans="1:2" x14ac:dyDescent="0.25">
      <c r="A1580" s="198">
        <v>43910</v>
      </c>
      <c r="B1580" s="244">
        <v>7.2050000000000001</v>
      </c>
    </row>
    <row r="1581" spans="1:2" x14ac:dyDescent="0.25">
      <c r="A1581" s="198">
        <v>43913</v>
      </c>
      <c r="B1581" s="244">
        <v>7.2024999999999997</v>
      </c>
    </row>
    <row r="1582" spans="1:2" x14ac:dyDescent="0.25">
      <c r="A1582" s="198">
        <v>43914</v>
      </c>
      <c r="B1582" s="244">
        <v>6.8150000000000004</v>
      </c>
    </row>
    <row r="1583" spans="1:2" x14ac:dyDescent="0.25">
      <c r="A1583" s="198">
        <v>43915</v>
      </c>
      <c r="B1583" s="244">
        <v>6.7850000000000001</v>
      </c>
    </row>
    <row r="1584" spans="1:2" x14ac:dyDescent="0.25">
      <c r="A1584" s="198">
        <v>43916</v>
      </c>
      <c r="B1584" s="244">
        <v>6.7675000000000001</v>
      </c>
    </row>
    <row r="1585" spans="1:2" x14ac:dyDescent="0.25">
      <c r="A1585" s="198">
        <v>43917</v>
      </c>
      <c r="B1585" s="244">
        <v>6.7587000000000002</v>
      </c>
    </row>
    <row r="1586" spans="1:2" x14ac:dyDescent="0.25">
      <c r="A1586" s="198">
        <v>43920</v>
      </c>
      <c r="B1586" s="244">
        <v>6.7487000000000004</v>
      </c>
    </row>
    <row r="1587" spans="1:2" x14ac:dyDescent="0.25">
      <c r="A1587" s="198">
        <v>43921</v>
      </c>
      <c r="B1587" s="244">
        <v>6.74</v>
      </c>
    </row>
    <row r="1588" spans="1:2" x14ac:dyDescent="0.25">
      <c r="A1588" s="198">
        <v>43922</v>
      </c>
      <c r="B1588" s="244">
        <v>6.71</v>
      </c>
    </row>
    <row r="1589" spans="1:2" x14ac:dyDescent="0.25">
      <c r="A1589" s="198">
        <v>43923</v>
      </c>
      <c r="B1589" s="244">
        <v>6.7024999999999997</v>
      </c>
    </row>
    <row r="1590" spans="1:2" x14ac:dyDescent="0.25">
      <c r="A1590" s="198">
        <v>43924</v>
      </c>
      <c r="B1590" s="244">
        <v>6.7</v>
      </c>
    </row>
    <row r="1591" spans="1:2" x14ac:dyDescent="0.25">
      <c r="A1591" s="198">
        <v>43927</v>
      </c>
      <c r="B1591" s="244">
        <v>6.69</v>
      </c>
    </row>
    <row r="1592" spans="1:2" x14ac:dyDescent="0.25">
      <c r="A1592" s="198">
        <v>43928</v>
      </c>
      <c r="B1592" s="244">
        <v>6.6849999999999996</v>
      </c>
    </row>
    <row r="1593" spans="1:2" x14ac:dyDescent="0.25">
      <c r="A1593" s="198">
        <v>43929</v>
      </c>
      <c r="B1593" s="244">
        <v>6.6775000000000002</v>
      </c>
    </row>
    <row r="1594" spans="1:2" x14ac:dyDescent="0.25">
      <c r="A1594" s="198">
        <v>43934</v>
      </c>
      <c r="B1594" s="244">
        <v>6.6486999999999998</v>
      </c>
    </row>
    <row r="1595" spans="1:2" x14ac:dyDescent="0.25">
      <c r="A1595" s="198">
        <v>43935</v>
      </c>
      <c r="B1595" s="244">
        <v>6.6417999999999999</v>
      </c>
    </row>
    <row r="1596" spans="1:2" x14ac:dyDescent="0.25">
      <c r="A1596" s="198">
        <v>43936</v>
      </c>
      <c r="B1596" s="244">
        <v>6.6384999999999996</v>
      </c>
    </row>
    <row r="1597" spans="1:2" x14ac:dyDescent="0.25">
      <c r="A1597" s="198">
        <v>43937</v>
      </c>
      <c r="B1597" s="244">
        <v>6.6292</v>
      </c>
    </row>
    <row r="1598" spans="1:2" x14ac:dyDescent="0.25">
      <c r="A1598" s="198">
        <v>43938</v>
      </c>
      <c r="B1598" s="244">
        <v>6.6196000000000002</v>
      </c>
    </row>
    <row r="1599" spans="1:2" x14ac:dyDescent="0.25">
      <c r="A1599" s="198">
        <v>43941</v>
      </c>
      <c r="B1599" s="244">
        <v>6.6142000000000003</v>
      </c>
    </row>
    <row r="1600" spans="1:2" x14ac:dyDescent="0.25">
      <c r="A1600" s="198">
        <v>43942</v>
      </c>
      <c r="B1600" s="244">
        <v>6.6115000000000004</v>
      </c>
    </row>
    <row r="1601" spans="1:2" x14ac:dyDescent="0.25">
      <c r="A1601" s="198">
        <v>43943</v>
      </c>
      <c r="B1601" s="244">
        <v>6.6070000000000002</v>
      </c>
    </row>
    <row r="1602" spans="1:2" x14ac:dyDescent="0.25">
      <c r="A1602" s="198">
        <v>43944</v>
      </c>
      <c r="B1602" s="244">
        <v>6.2725</v>
      </c>
    </row>
    <row r="1603" spans="1:2" x14ac:dyDescent="0.25">
      <c r="A1603" s="198">
        <v>43945</v>
      </c>
      <c r="B1603" s="244">
        <v>6.2662000000000004</v>
      </c>
    </row>
    <row r="1604" spans="1:2" x14ac:dyDescent="0.25">
      <c r="A1604" s="198">
        <v>43948</v>
      </c>
      <c r="B1604" s="244">
        <v>6.2645</v>
      </c>
    </row>
    <row r="1605" spans="1:2" x14ac:dyDescent="0.25">
      <c r="A1605" s="198">
        <v>43949</v>
      </c>
      <c r="B1605" s="244">
        <v>6.2606999999999999</v>
      </c>
    </row>
    <row r="1606" spans="1:2" x14ac:dyDescent="0.25">
      <c r="A1606" s="198">
        <v>43950</v>
      </c>
      <c r="B1606" s="244">
        <v>6.2591999999999999</v>
      </c>
    </row>
    <row r="1607" spans="1:2" x14ac:dyDescent="0.25">
      <c r="A1607" s="198">
        <v>43951</v>
      </c>
      <c r="B1607" s="244">
        <v>6.2560000000000002</v>
      </c>
    </row>
    <row r="1608" spans="1:2" x14ac:dyDescent="0.25">
      <c r="A1608" s="198">
        <v>43955</v>
      </c>
      <c r="B1608" s="244">
        <v>6.2474999999999996</v>
      </c>
    </row>
    <row r="1609" spans="1:2" x14ac:dyDescent="0.25">
      <c r="A1609" s="198">
        <v>43956</v>
      </c>
      <c r="B1609" s="244">
        <v>6.2450000000000001</v>
      </c>
    </row>
    <row r="1610" spans="1:2" x14ac:dyDescent="0.25">
      <c r="A1610" s="198">
        <v>43957</v>
      </c>
      <c r="B1610" s="244">
        <v>6.2424999999999997</v>
      </c>
    </row>
    <row r="1611" spans="1:2" x14ac:dyDescent="0.25">
      <c r="A1611" s="198">
        <v>43958</v>
      </c>
      <c r="B1611" s="244">
        <v>6.2409999999999997</v>
      </c>
    </row>
    <row r="1612" spans="1:2" x14ac:dyDescent="0.25">
      <c r="A1612" s="198">
        <v>43959</v>
      </c>
      <c r="B1612" s="244">
        <v>6.2394999999999996</v>
      </c>
    </row>
    <row r="1613" spans="1:2" x14ac:dyDescent="0.25">
      <c r="A1613" s="198">
        <v>43962</v>
      </c>
      <c r="B1613" s="244">
        <v>6.2356999999999996</v>
      </c>
    </row>
    <row r="1614" spans="1:2" x14ac:dyDescent="0.25">
      <c r="A1614" s="198">
        <v>43963</v>
      </c>
      <c r="B1614" s="244">
        <v>6.2314999999999996</v>
      </c>
    </row>
    <row r="1615" spans="1:2" x14ac:dyDescent="0.25">
      <c r="A1615" s="198">
        <v>43964</v>
      </c>
      <c r="B1615" s="244">
        <v>6.2276999999999996</v>
      </c>
    </row>
    <row r="1616" spans="1:2" x14ac:dyDescent="0.25">
      <c r="A1616" s="198">
        <v>43965</v>
      </c>
      <c r="B1616" s="244">
        <v>6.1959999999999997</v>
      </c>
    </row>
    <row r="1617" spans="1:2" x14ac:dyDescent="0.25">
      <c r="A1617" s="198">
        <v>43966</v>
      </c>
      <c r="B1617" s="244">
        <v>6.1772</v>
      </c>
    </row>
    <row r="1618" spans="1:2" x14ac:dyDescent="0.25">
      <c r="A1618" s="198">
        <v>43969</v>
      </c>
      <c r="B1618" s="244">
        <v>5.78</v>
      </c>
    </row>
    <row r="1619" spans="1:2" x14ac:dyDescent="0.25">
      <c r="A1619" s="198">
        <v>43970</v>
      </c>
      <c r="B1619" s="244">
        <v>5.7774999999999999</v>
      </c>
    </row>
    <row r="1620" spans="1:2" x14ac:dyDescent="0.25">
      <c r="A1620" s="198">
        <v>43971</v>
      </c>
      <c r="B1620" s="244">
        <v>5.7727000000000004</v>
      </c>
    </row>
    <row r="1621" spans="1:2" x14ac:dyDescent="0.25">
      <c r="A1621" s="198">
        <v>43972</v>
      </c>
      <c r="B1621" s="244">
        <v>5.7687999999999997</v>
      </c>
    </row>
    <row r="1622" spans="1:2" x14ac:dyDescent="0.25">
      <c r="A1622" s="198">
        <v>43973</v>
      </c>
      <c r="B1622" s="244">
        <v>5.7644000000000002</v>
      </c>
    </row>
    <row r="1623" spans="1:2" x14ac:dyDescent="0.25">
      <c r="A1623" s="198">
        <v>43976</v>
      </c>
      <c r="B1623" s="244">
        <v>5.7622</v>
      </c>
    </row>
    <row r="1624" spans="1:2" x14ac:dyDescent="0.25">
      <c r="A1624" s="198">
        <v>43977</v>
      </c>
      <c r="B1624" s="244">
        <v>5.7549999999999999</v>
      </c>
    </row>
    <row r="1625" spans="1:2" x14ac:dyDescent="0.25">
      <c r="A1625" s="198">
        <v>43978</v>
      </c>
      <c r="B1625" s="244">
        <v>5.7525000000000004</v>
      </c>
    </row>
    <row r="1626" spans="1:2" x14ac:dyDescent="0.25">
      <c r="A1626" s="198">
        <v>43979</v>
      </c>
      <c r="B1626" s="244">
        <v>5.7481999999999998</v>
      </c>
    </row>
    <row r="1627" spans="1:2" x14ac:dyDescent="0.25">
      <c r="A1627" s="198">
        <v>43980</v>
      </c>
      <c r="B1627" s="244">
        <v>5.7441000000000004</v>
      </c>
    </row>
    <row r="1628" spans="1:2" x14ac:dyDescent="0.25">
      <c r="A1628" s="198">
        <v>43983</v>
      </c>
      <c r="B1628" s="244">
        <v>5.7394999999999996</v>
      </c>
    </row>
    <row r="1629" spans="1:2" x14ac:dyDescent="0.25">
      <c r="A1629" s="198">
        <v>43984</v>
      </c>
      <c r="B1629" s="244">
        <v>5.7347000000000001</v>
      </c>
    </row>
    <row r="1630" spans="1:2" x14ac:dyDescent="0.25">
      <c r="A1630" s="198">
        <v>43985</v>
      </c>
      <c r="B1630" s="244">
        <v>5.7324999999999999</v>
      </c>
    </row>
    <row r="1631" spans="1:2" x14ac:dyDescent="0.25">
      <c r="A1631" s="198">
        <v>43986</v>
      </c>
      <c r="B1631" s="244">
        <v>5.7286000000000001</v>
      </c>
    </row>
    <row r="1632" spans="1:2" x14ac:dyDescent="0.25">
      <c r="A1632" s="198">
        <v>43987</v>
      </c>
      <c r="B1632" s="244">
        <v>5.7229000000000001</v>
      </c>
    </row>
    <row r="1633" spans="1:2" x14ac:dyDescent="0.25">
      <c r="A1633" s="198">
        <v>43990</v>
      </c>
      <c r="B1633" s="244">
        <v>5.7088999999999999</v>
      </c>
    </row>
    <row r="1634" spans="1:2" x14ac:dyDescent="0.25">
      <c r="A1634" s="198">
        <v>43991</v>
      </c>
      <c r="B1634" s="244">
        <v>5.6959999999999997</v>
      </c>
    </row>
    <row r="1635" spans="1:2" x14ac:dyDescent="0.25">
      <c r="A1635" s="198">
        <v>43992</v>
      </c>
      <c r="B1635" s="244">
        <v>5.6924000000000001</v>
      </c>
    </row>
    <row r="1636" spans="1:2" x14ac:dyDescent="0.25">
      <c r="A1636" s="198">
        <v>43993</v>
      </c>
      <c r="B1636" s="244">
        <v>5.6849999999999996</v>
      </c>
    </row>
    <row r="1637" spans="1:2" x14ac:dyDescent="0.25">
      <c r="A1637" s="198">
        <v>43994</v>
      </c>
      <c r="B1637" s="244">
        <v>5.681</v>
      </c>
    </row>
    <row r="1638" spans="1:2" x14ac:dyDescent="0.25">
      <c r="A1638" s="198">
        <v>43997</v>
      </c>
      <c r="B1638" s="244">
        <v>5.6764999999999999</v>
      </c>
    </row>
    <row r="1639" spans="1:2" x14ac:dyDescent="0.25">
      <c r="A1639" s="198">
        <v>43998</v>
      </c>
      <c r="B1639" s="244">
        <v>5.673</v>
      </c>
    </row>
    <row r="1640" spans="1:2" x14ac:dyDescent="0.25">
      <c r="A1640" s="198">
        <v>43999</v>
      </c>
      <c r="B1640" s="244">
        <v>5.6710000000000003</v>
      </c>
    </row>
    <row r="1641" spans="1:2" x14ac:dyDescent="0.25">
      <c r="A1641" s="198">
        <v>44000</v>
      </c>
      <c r="B1641" s="244">
        <v>5.6654999999999998</v>
      </c>
    </row>
    <row r="1642" spans="1:2" x14ac:dyDescent="0.25">
      <c r="A1642" s="198">
        <v>44001</v>
      </c>
      <c r="B1642" s="244">
        <v>5.6609999999999996</v>
      </c>
    </row>
    <row r="1643" spans="1:2" x14ac:dyDescent="0.25">
      <c r="A1643" s="198">
        <v>44004</v>
      </c>
      <c r="B1643" s="244">
        <v>5.6559999999999997</v>
      </c>
    </row>
    <row r="1644" spans="1:2" x14ac:dyDescent="0.25">
      <c r="A1644" s="198">
        <v>44005</v>
      </c>
      <c r="B1644" s="244">
        <v>5.6550000000000002</v>
      </c>
    </row>
    <row r="1645" spans="1:2" x14ac:dyDescent="0.25">
      <c r="A1645" s="198">
        <v>44006</v>
      </c>
      <c r="B1645" s="244">
        <v>5.6505000000000001</v>
      </c>
    </row>
    <row r="1646" spans="1:2" x14ac:dyDescent="0.25">
      <c r="A1646" s="198">
        <v>44007</v>
      </c>
      <c r="B1646" s="244">
        <v>5.6452</v>
      </c>
    </row>
    <row r="1647" spans="1:2" x14ac:dyDescent="0.25">
      <c r="A1647" s="198">
        <v>44008</v>
      </c>
      <c r="B1647" s="244">
        <v>5.6101000000000001</v>
      </c>
    </row>
    <row r="1648" spans="1:2" x14ac:dyDescent="0.25">
      <c r="A1648" s="198">
        <v>44011</v>
      </c>
      <c r="B1648" s="244">
        <v>5.2975000000000003</v>
      </c>
    </row>
    <row r="1649" spans="1:2" x14ac:dyDescent="0.25">
      <c r="A1649" s="198">
        <v>44012</v>
      </c>
      <c r="B1649" s="244">
        <v>5.2887000000000004</v>
      </c>
    </row>
    <row r="1650" spans="1:2" x14ac:dyDescent="0.25">
      <c r="A1650" s="198">
        <v>44013</v>
      </c>
      <c r="B1650" s="244">
        <v>5.2843</v>
      </c>
    </row>
    <row r="1651" spans="1:2" x14ac:dyDescent="0.25">
      <c r="A1651" s="198">
        <v>44014</v>
      </c>
      <c r="B1651" s="244">
        <v>5.2664999999999997</v>
      </c>
    </row>
    <row r="1652" spans="1:2" x14ac:dyDescent="0.25">
      <c r="A1652" s="198">
        <v>44015</v>
      </c>
      <c r="B1652" s="244">
        <v>5.26</v>
      </c>
    </row>
    <row r="1653" spans="1:2" x14ac:dyDescent="0.25">
      <c r="A1653" s="198">
        <v>44018</v>
      </c>
      <c r="B1653" s="244">
        <v>5.2561999999999998</v>
      </c>
    </row>
    <row r="1654" spans="1:2" x14ac:dyDescent="0.25">
      <c r="A1654" s="198">
        <v>44019</v>
      </c>
      <c r="B1654" s="244">
        <v>5.2549999999999999</v>
      </c>
    </row>
    <row r="1655" spans="1:2" x14ac:dyDescent="0.25">
      <c r="A1655" s="198">
        <v>44020</v>
      </c>
      <c r="B1655" s="244">
        <v>5.2504999999999997</v>
      </c>
    </row>
    <row r="1656" spans="1:2" x14ac:dyDescent="0.25">
      <c r="A1656" s="198">
        <v>44021</v>
      </c>
      <c r="B1656" s="244">
        <v>5.2457000000000003</v>
      </c>
    </row>
    <row r="1657" spans="1:2" x14ac:dyDescent="0.25">
      <c r="A1657" s="198">
        <v>44022</v>
      </c>
      <c r="B1657" s="244">
        <v>5.2430000000000003</v>
      </c>
    </row>
    <row r="1658" spans="1:2" x14ac:dyDescent="0.25">
      <c r="A1658" s="198">
        <v>44025</v>
      </c>
      <c r="B1658" s="244">
        <v>5.2385000000000002</v>
      </c>
    </row>
    <row r="1659" spans="1:2" x14ac:dyDescent="0.25">
      <c r="A1659" s="198">
        <v>44026</v>
      </c>
      <c r="B1659" s="244">
        <v>5.2371999999999996</v>
      </c>
    </row>
    <row r="1660" spans="1:2" x14ac:dyDescent="0.25">
      <c r="A1660" s="198">
        <v>44027</v>
      </c>
      <c r="B1660" s="244">
        <v>5.2350000000000003</v>
      </c>
    </row>
    <row r="1661" spans="1:2" x14ac:dyDescent="0.25">
      <c r="A1661" s="198">
        <v>44028</v>
      </c>
      <c r="B1661" s="244">
        <v>5.2305000000000001</v>
      </c>
    </row>
    <row r="1662" spans="1:2" x14ac:dyDescent="0.25">
      <c r="A1662" s="198">
        <v>44029</v>
      </c>
      <c r="B1662" s="244">
        <v>5.2291999999999996</v>
      </c>
    </row>
    <row r="1663" spans="1:2" x14ac:dyDescent="0.25">
      <c r="A1663" s="198">
        <v>44032</v>
      </c>
      <c r="B1663" s="244">
        <v>5.2249999999999996</v>
      </c>
    </row>
    <row r="1664" spans="1:2" x14ac:dyDescent="0.25">
      <c r="A1664" s="198">
        <v>44033</v>
      </c>
      <c r="B1664" s="244">
        <v>5.2225000000000001</v>
      </c>
    </row>
    <row r="1665" spans="1:2" x14ac:dyDescent="0.25">
      <c r="A1665" s="198">
        <v>44034</v>
      </c>
      <c r="B1665" s="244">
        <v>5.2190000000000003</v>
      </c>
    </row>
    <row r="1666" spans="1:2" x14ac:dyDescent="0.25">
      <c r="A1666" s="198">
        <v>44035</v>
      </c>
      <c r="B1666" s="244">
        <v>5.2175000000000002</v>
      </c>
    </row>
    <row r="1667" spans="1:2" x14ac:dyDescent="0.25">
      <c r="A1667" s="198">
        <v>44036</v>
      </c>
      <c r="B1667" s="244">
        <v>5.2074999999999996</v>
      </c>
    </row>
    <row r="1668" spans="1:2" x14ac:dyDescent="0.25">
      <c r="A1668" s="198">
        <v>44039</v>
      </c>
      <c r="B1668" s="244">
        <v>5.2039999999999997</v>
      </c>
    </row>
    <row r="1669" spans="1:2" x14ac:dyDescent="0.25">
      <c r="A1669" s="198">
        <v>44040</v>
      </c>
      <c r="B1669" s="244">
        <v>5.2042000000000002</v>
      </c>
    </row>
    <row r="1670" spans="1:2" x14ac:dyDescent="0.25">
      <c r="A1670" s="198">
        <v>44041</v>
      </c>
      <c r="B1670" s="244">
        <v>5.2</v>
      </c>
    </row>
    <row r="1671" spans="1:2" x14ac:dyDescent="0.25">
      <c r="A1671" s="198">
        <v>44042</v>
      </c>
      <c r="B1671" s="244">
        <v>5.1974999999999998</v>
      </c>
    </row>
    <row r="1672" spans="1:2" x14ac:dyDescent="0.25">
      <c r="A1672" s="198">
        <v>44043</v>
      </c>
      <c r="B1672" s="244">
        <v>5.1950000000000003</v>
      </c>
    </row>
    <row r="1673" spans="1:2" x14ac:dyDescent="0.25">
      <c r="A1673" s="198">
        <v>44046</v>
      </c>
      <c r="B1673" s="244">
        <v>5.1924999999999999</v>
      </c>
    </row>
    <row r="1674" spans="1:2" x14ac:dyDescent="0.25">
      <c r="A1674" s="198">
        <v>44047</v>
      </c>
      <c r="B1674" s="244">
        <v>5.1877000000000004</v>
      </c>
    </row>
    <row r="1675" spans="1:2" x14ac:dyDescent="0.25">
      <c r="A1675" s="198">
        <v>44048</v>
      </c>
      <c r="B1675" s="244">
        <v>5.1840000000000002</v>
      </c>
    </row>
    <row r="1676" spans="1:2" x14ac:dyDescent="0.25">
      <c r="A1676" s="198">
        <v>44049</v>
      </c>
      <c r="B1676" s="244">
        <v>5.1779999999999999</v>
      </c>
    </row>
    <row r="1677" spans="1:2" x14ac:dyDescent="0.25">
      <c r="A1677" s="198">
        <v>44050</v>
      </c>
      <c r="B1677" s="244">
        <v>5.1740000000000004</v>
      </c>
    </row>
    <row r="1678" spans="1:2" x14ac:dyDescent="0.25">
      <c r="A1678" s="198">
        <v>44053</v>
      </c>
      <c r="B1678" s="244">
        <v>5.1702000000000004</v>
      </c>
    </row>
    <row r="1679" spans="1:2" x14ac:dyDescent="0.25">
      <c r="A1679" s="198">
        <v>44054</v>
      </c>
      <c r="B1679" s="244">
        <v>5.1687000000000003</v>
      </c>
    </row>
    <row r="1680" spans="1:2" x14ac:dyDescent="0.25">
      <c r="A1680" s="198">
        <v>44055</v>
      </c>
      <c r="B1680" s="244">
        <v>5.1668000000000003</v>
      </c>
    </row>
    <row r="1681" spans="1:2" x14ac:dyDescent="0.25">
      <c r="A1681" s="198">
        <v>44056</v>
      </c>
      <c r="B1681" s="244">
        <v>5.1359000000000004</v>
      </c>
    </row>
    <row r="1682" spans="1:2" x14ac:dyDescent="0.25">
      <c r="A1682" s="198">
        <v>44057</v>
      </c>
      <c r="B1682" s="244">
        <v>5.1292</v>
      </c>
    </row>
    <row r="1683" spans="1:2" x14ac:dyDescent="0.25">
      <c r="A1683" s="198">
        <v>44060</v>
      </c>
      <c r="B1683" s="244">
        <v>4.8036000000000003</v>
      </c>
    </row>
    <row r="1684" spans="1:2" x14ac:dyDescent="0.25">
      <c r="A1684" s="198">
        <v>44061</v>
      </c>
      <c r="B1684" s="244">
        <v>4.7969999999999997</v>
      </c>
    </row>
    <row r="1685" spans="1:2" x14ac:dyDescent="0.25">
      <c r="A1685" s="198">
        <v>44062</v>
      </c>
      <c r="B1685" s="244">
        <v>4.7934999999999999</v>
      </c>
    </row>
    <row r="1686" spans="1:2" x14ac:dyDescent="0.25">
      <c r="A1686" s="198">
        <v>44063</v>
      </c>
      <c r="B1686" s="244">
        <v>4.7895000000000003</v>
      </c>
    </row>
    <row r="1687" spans="1:2" x14ac:dyDescent="0.25">
      <c r="A1687" s="198">
        <v>44064</v>
      </c>
      <c r="B1687" s="244">
        <v>4.7874999999999996</v>
      </c>
    </row>
    <row r="1688" spans="1:2" x14ac:dyDescent="0.25">
      <c r="A1688" s="198">
        <v>44067</v>
      </c>
      <c r="B1688" s="244">
        <v>4.7845000000000004</v>
      </c>
    </row>
    <row r="1689" spans="1:2" x14ac:dyDescent="0.25">
      <c r="A1689" s="198">
        <v>44068</v>
      </c>
      <c r="B1689" s="244">
        <v>4.7792000000000003</v>
      </c>
    </row>
    <row r="1690" spans="1:2" x14ac:dyDescent="0.25">
      <c r="A1690" s="198">
        <v>44069</v>
      </c>
      <c r="B1690" s="244">
        <v>4.7774999999999999</v>
      </c>
    </row>
    <row r="1691" spans="1:2" x14ac:dyDescent="0.25">
      <c r="A1691" s="198">
        <v>44070</v>
      </c>
      <c r="B1691" s="244">
        <v>4.7750000000000004</v>
      </c>
    </row>
    <row r="1692" spans="1:2" x14ac:dyDescent="0.25">
      <c r="A1692" s="198">
        <v>44071</v>
      </c>
      <c r="B1692" s="244">
        <v>4.7725</v>
      </c>
    </row>
    <row r="1693" spans="1:2" x14ac:dyDescent="0.25">
      <c r="A1693" s="198">
        <v>44074</v>
      </c>
      <c r="B1693" s="244">
        <v>4.7690000000000001</v>
      </c>
    </row>
    <row r="1694" spans="1:2" x14ac:dyDescent="0.25">
      <c r="A1694" s="198">
        <v>44075</v>
      </c>
      <c r="B1694" s="244">
        <v>4.7676999999999996</v>
      </c>
    </row>
    <row r="1695" spans="1:2" x14ac:dyDescent="0.25">
      <c r="A1695" s="198">
        <v>44076</v>
      </c>
      <c r="B1695" s="244">
        <v>4.7640000000000002</v>
      </c>
    </row>
    <row r="1696" spans="1:2" x14ac:dyDescent="0.25">
      <c r="A1696" s="198">
        <v>44077</v>
      </c>
      <c r="B1696" s="244">
        <v>4.7619999999999996</v>
      </c>
    </row>
    <row r="1697" spans="1:2" x14ac:dyDescent="0.25">
      <c r="A1697" s="198">
        <v>44078</v>
      </c>
      <c r="B1697" s="244">
        <v>4.7584999999999997</v>
      </c>
    </row>
    <row r="1698" spans="1:2" x14ac:dyDescent="0.25">
      <c r="A1698" s="198">
        <v>44081</v>
      </c>
      <c r="B1698" s="244">
        <v>4.7602000000000002</v>
      </c>
    </row>
    <row r="1699" spans="1:2" x14ac:dyDescent="0.25">
      <c r="A1699" s="198">
        <v>44082</v>
      </c>
      <c r="B1699" s="244">
        <v>4.7576000000000001</v>
      </c>
    </row>
    <row r="1700" spans="1:2" x14ac:dyDescent="0.25">
      <c r="A1700" s="198">
        <v>44083</v>
      </c>
      <c r="B1700" s="244">
        <v>4.7530000000000001</v>
      </c>
    </row>
    <row r="1701" spans="1:2" x14ac:dyDescent="0.25">
      <c r="A1701" s="198">
        <v>44084</v>
      </c>
      <c r="B1701" s="244">
        <v>4.7522000000000002</v>
      </c>
    </row>
    <row r="1702" spans="1:2" x14ac:dyDescent="0.25">
      <c r="A1702" s="198">
        <v>44085</v>
      </c>
      <c r="B1702" s="244">
        <v>4.7511999999999999</v>
      </c>
    </row>
    <row r="1703" spans="1:2" x14ac:dyDescent="0.25">
      <c r="A1703" s="198">
        <v>44088</v>
      </c>
      <c r="B1703" s="244">
        <v>4.7507000000000001</v>
      </c>
    </row>
    <row r="1704" spans="1:2" x14ac:dyDescent="0.25">
      <c r="A1704" s="198">
        <v>44089</v>
      </c>
      <c r="B1704" s="244">
        <v>4.7460000000000004</v>
      </c>
    </row>
    <row r="1705" spans="1:2" x14ac:dyDescent="0.25">
      <c r="A1705" s="198">
        <v>44091</v>
      </c>
      <c r="B1705" s="244">
        <v>4.7422000000000004</v>
      </c>
    </row>
    <row r="1706" spans="1:2" x14ac:dyDescent="0.25">
      <c r="A1706" s="198">
        <v>44092</v>
      </c>
      <c r="B1706" s="244">
        <v>4.7415000000000003</v>
      </c>
    </row>
    <row r="1707" spans="1:2" x14ac:dyDescent="0.25">
      <c r="A1707" s="198">
        <v>44095</v>
      </c>
      <c r="B1707" s="244">
        <v>4.7366999999999999</v>
      </c>
    </row>
    <row r="1708" spans="1:2" x14ac:dyDescent="0.25">
      <c r="A1708" s="198">
        <v>44096</v>
      </c>
      <c r="B1708" s="244">
        <v>4.7335000000000003</v>
      </c>
    </row>
    <row r="1709" spans="1:2" x14ac:dyDescent="0.25">
      <c r="A1709" s="198">
        <v>44097</v>
      </c>
      <c r="B1709" s="244">
        <v>4.7324999999999999</v>
      </c>
    </row>
    <row r="1710" spans="1:2" x14ac:dyDescent="0.25">
      <c r="A1710" s="198">
        <v>44098</v>
      </c>
      <c r="B1710" s="244">
        <v>4.7290000000000001</v>
      </c>
    </row>
    <row r="1711" spans="1:2" x14ac:dyDescent="0.25">
      <c r="A1711" s="198">
        <v>44099</v>
      </c>
      <c r="B1711" s="244">
        <v>4.7275</v>
      </c>
    </row>
    <row r="1712" spans="1:2" x14ac:dyDescent="0.25">
      <c r="A1712" s="198">
        <v>44102</v>
      </c>
      <c r="B1712" s="244">
        <v>4.5605000000000002</v>
      </c>
    </row>
    <row r="1713" spans="1:2" x14ac:dyDescent="0.25">
      <c r="A1713" s="198">
        <v>44103</v>
      </c>
      <c r="B1713" s="244">
        <v>4.55</v>
      </c>
    </row>
    <row r="1714" spans="1:2" x14ac:dyDescent="0.25">
      <c r="A1714" s="198">
        <v>44104</v>
      </c>
      <c r="B1714" s="244">
        <v>4.5495000000000001</v>
      </c>
    </row>
    <row r="1715" spans="1:2" x14ac:dyDescent="0.25">
      <c r="A1715" s="198">
        <v>44105</v>
      </c>
      <c r="B1715" s="244">
        <v>4.5484999999999998</v>
      </c>
    </row>
    <row r="1716" spans="1:2" x14ac:dyDescent="0.25">
      <c r="A1716" s="198">
        <v>44106</v>
      </c>
      <c r="B1716" s="244">
        <v>4.5487000000000002</v>
      </c>
    </row>
    <row r="1717" spans="1:2" x14ac:dyDescent="0.25">
      <c r="A1717" s="198">
        <v>44109</v>
      </c>
      <c r="B1717" s="244">
        <v>4.5445000000000002</v>
      </c>
    </row>
    <row r="1718" spans="1:2" x14ac:dyDescent="0.25">
      <c r="A1718" s="198">
        <v>44110</v>
      </c>
      <c r="B1718" s="244">
        <v>4.5425000000000004</v>
      </c>
    </row>
    <row r="1719" spans="1:2" x14ac:dyDescent="0.25">
      <c r="A1719" s="198">
        <v>44111</v>
      </c>
      <c r="B1719" s="244">
        <v>4.5430000000000001</v>
      </c>
    </row>
    <row r="1720" spans="1:2" x14ac:dyDescent="0.25">
      <c r="A1720" s="198">
        <v>44112</v>
      </c>
      <c r="B1720" s="244">
        <v>4.5425000000000004</v>
      </c>
    </row>
    <row r="1721" spans="1:2" x14ac:dyDescent="0.25">
      <c r="A1721" s="198">
        <v>44113</v>
      </c>
      <c r="B1721" s="244">
        <v>4.5425000000000004</v>
      </c>
    </row>
    <row r="1722" spans="1:2" x14ac:dyDescent="0.25">
      <c r="A1722" s="198">
        <v>44116</v>
      </c>
      <c r="B1722" s="244">
        <v>4.5389999999999997</v>
      </c>
    </row>
    <row r="1723" spans="1:2" x14ac:dyDescent="0.25">
      <c r="A1723" s="198">
        <v>44117</v>
      </c>
      <c r="B1723" s="244">
        <v>4.5345000000000004</v>
      </c>
    </row>
    <row r="1724" spans="1:2" x14ac:dyDescent="0.25">
      <c r="A1724" s="198">
        <v>44118</v>
      </c>
      <c r="B1724" s="244">
        <v>4.5369999999999999</v>
      </c>
    </row>
    <row r="1725" spans="1:2" x14ac:dyDescent="0.25">
      <c r="A1725" s="198">
        <v>44119</v>
      </c>
      <c r="B1725" s="244">
        <v>4.5357000000000003</v>
      </c>
    </row>
    <row r="1726" spans="1:2" x14ac:dyDescent="0.25">
      <c r="A1726" s="198">
        <v>44120</v>
      </c>
      <c r="B1726" s="244">
        <v>4.5309999999999997</v>
      </c>
    </row>
    <row r="1727" spans="1:2" x14ac:dyDescent="0.25">
      <c r="A1727" s="198">
        <v>44123</v>
      </c>
      <c r="B1727" s="244">
        <v>4.5305999999999997</v>
      </c>
    </row>
    <row r="1728" spans="1:2" x14ac:dyDescent="0.25">
      <c r="A1728" s="198">
        <v>44124</v>
      </c>
      <c r="B1728" s="244">
        <v>4.5255000000000001</v>
      </c>
    </row>
    <row r="1729" spans="1:2" x14ac:dyDescent="0.25">
      <c r="A1729" s="198">
        <v>44125</v>
      </c>
      <c r="B1729" s="244">
        <v>4.5250000000000004</v>
      </c>
    </row>
    <row r="1730" spans="1:2" x14ac:dyDescent="0.25">
      <c r="A1730" s="198">
        <v>44126</v>
      </c>
      <c r="B1730" s="244">
        <v>4.5250000000000004</v>
      </c>
    </row>
    <row r="1731" spans="1:2" x14ac:dyDescent="0.25">
      <c r="A1731" s="198">
        <v>44127</v>
      </c>
      <c r="B1731" s="244">
        <v>4.5206999999999997</v>
      </c>
    </row>
    <row r="1732" spans="1:2" x14ac:dyDescent="0.25">
      <c r="A1732" s="198">
        <v>44130</v>
      </c>
      <c r="B1732" s="244">
        <v>4.5221999999999998</v>
      </c>
    </row>
    <row r="1733" spans="1:2" x14ac:dyDescent="0.25">
      <c r="A1733" s="198">
        <v>44131</v>
      </c>
      <c r="B1733" s="244">
        <v>4.5225</v>
      </c>
    </row>
    <row r="1734" spans="1:2" x14ac:dyDescent="0.25">
      <c r="A1734" s="198">
        <v>44132</v>
      </c>
      <c r="B1734" s="244">
        <v>4.5214999999999996</v>
      </c>
    </row>
    <row r="1735" spans="1:2" x14ac:dyDescent="0.25">
      <c r="A1735" s="198">
        <v>44133</v>
      </c>
      <c r="B1735" s="244">
        <v>4.5162000000000004</v>
      </c>
    </row>
    <row r="1736" spans="1:2" x14ac:dyDescent="0.25">
      <c r="A1736" s="198">
        <v>44134</v>
      </c>
      <c r="B1736" s="244">
        <v>4.5155000000000003</v>
      </c>
    </row>
    <row r="1737" spans="1:2" x14ac:dyDescent="0.25">
      <c r="A1737" s="198">
        <v>44138</v>
      </c>
      <c r="B1737" s="244">
        <v>4.5125000000000002</v>
      </c>
    </row>
    <row r="1738" spans="1:2" x14ac:dyDescent="0.25">
      <c r="A1738" s="198">
        <v>44139</v>
      </c>
      <c r="B1738" s="244">
        <v>4.516</v>
      </c>
    </row>
    <row r="1739" spans="1:2" x14ac:dyDescent="0.25">
      <c r="A1739" s="198">
        <v>44140</v>
      </c>
      <c r="B1739" s="244">
        <v>4.5110000000000001</v>
      </c>
    </row>
    <row r="1740" spans="1:2" x14ac:dyDescent="0.25">
      <c r="A1740" s="198">
        <v>44141</v>
      </c>
      <c r="B1740" s="244">
        <v>4.5060000000000002</v>
      </c>
    </row>
    <row r="1741" spans="1:2" x14ac:dyDescent="0.25">
      <c r="A1741" s="198">
        <v>44144</v>
      </c>
      <c r="B1741" s="244">
        <v>4.5030000000000001</v>
      </c>
    </row>
    <row r="1742" spans="1:2" x14ac:dyDescent="0.25">
      <c r="A1742" s="198">
        <v>44145</v>
      </c>
      <c r="B1742" s="244">
        <v>4.5</v>
      </c>
    </row>
    <row r="1743" spans="1:2" x14ac:dyDescent="0.25">
      <c r="A1743" s="198">
        <v>44146</v>
      </c>
      <c r="B1743" s="244">
        <v>4.5007000000000001</v>
      </c>
    </row>
    <row r="1744" spans="1:2" x14ac:dyDescent="0.25">
      <c r="A1744" s="198">
        <v>44147</v>
      </c>
      <c r="B1744" s="244">
        <v>4.4987000000000004</v>
      </c>
    </row>
    <row r="1745" spans="1:2" x14ac:dyDescent="0.25">
      <c r="A1745" s="198">
        <v>44148</v>
      </c>
      <c r="B1745" s="244">
        <v>4.4930000000000003</v>
      </c>
    </row>
    <row r="1746" spans="1:2" x14ac:dyDescent="0.25">
      <c r="A1746" s="198">
        <v>44152</v>
      </c>
      <c r="B1746" s="244">
        <v>4.5049999999999999</v>
      </c>
    </row>
    <row r="1747" spans="1:2" x14ac:dyDescent="0.25">
      <c r="A1747" s="198">
        <v>44153</v>
      </c>
      <c r="B1747" s="244">
        <v>4.5025000000000004</v>
      </c>
    </row>
    <row r="1748" spans="1:2" x14ac:dyDescent="0.25">
      <c r="A1748" s="198">
        <v>44154</v>
      </c>
      <c r="B1748" s="244">
        <v>4.4984999999999999</v>
      </c>
    </row>
    <row r="1749" spans="1:2" x14ac:dyDescent="0.25">
      <c r="A1749" s="198">
        <v>44155</v>
      </c>
      <c r="B1749" s="244">
        <v>4.4951999999999996</v>
      </c>
    </row>
    <row r="1750" spans="1:2" x14ac:dyDescent="0.25">
      <c r="A1750" s="198">
        <v>44158</v>
      </c>
      <c r="B1750" s="244">
        <v>4.4924999999999997</v>
      </c>
    </row>
    <row r="1751" spans="1:2" x14ac:dyDescent="0.25">
      <c r="A1751" s="198">
        <v>44159</v>
      </c>
      <c r="B1751" s="244">
        <v>4.4924999999999997</v>
      </c>
    </row>
    <row r="1752" spans="1:2" x14ac:dyDescent="0.25">
      <c r="A1752" s="198">
        <v>44160</v>
      </c>
      <c r="B1752" s="244">
        <v>4.49</v>
      </c>
    </row>
    <row r="1753" spans="1:2" x14ac:dyDescent="0.25">
      <c r="A1753" s="198">
        <v>44161</v>
      </c>
      <c r="B1753" s="244">
        <v>4.4874999999999998</v>
      </c>
    </row>
    <row r="1754" spans="1:2" x14ac:dyDescent="0.25">
      <c r="A1754" s="198">
        <v>44162</v>
      </c>
      <c r="B1754" s="244">
        <v>4.4835000000000003</v>
      </c>
    </row>
    <row r="1755" spans="1:2" x14ac:dyDescent="0.25">
      <c r="A1755" s="198">
        <v>44165</v>
      </c>
      <c r="B1755" s="244">
        <v>4.4855</v>
      </c>
    </row>
    <row r="1756" spans="1:2" x14ac:dyDescent="0.25">
      <c r="A1756" s="198">
        <v>44166</v>
      </c>
      <c r="B1756" s="244">
        <v>4.4871999999999996</v>
      </c>
    </row>
    <row r="1757" spans="1:2" x14ac:dyDescent="0.25">
      <c r="A1757" s="198">
        <v>44167</v>
      </c>
      <c r="B1757" s="244">
        <v>4.4885000000000002</v>
      </c>
    </row>
    <row r="1758" spans="1:2" x14ac:dyDescent="0.25">
      <c r="A1758" s="198">
        <v>44168</v>
      </c>
      <c r="B1758" s="244">
        <v>4.4889000000000001</v>
      </c>
    </row>
    <row r="1759" spans="1:2" x14ac:dyDescent="0.25">
      <c r="A1759" s="198">
        <v>44169</v>
      </c>
      <c r="B1759" s="244">
        <v>4.4844999999999997</v>
      </c>
    </row>
    <row r="1760" spans="1:2" x14ac:dyDescent="0.25">
      <c r="A1760" s="198">
        <v>44172</v>
      </c>
      <c r="B1760" s="244">
        <v>4.4824999999999999</v>
      </c>
    </row>
    <row r="1761" spans="1:2" x14ac:dyDescent="0.25">
      <c r="A1761" s="198">
        <v>44173</v>
      </c>
      <c r="B1761" s="244">
        <v>4.4824999999999999</v>
      </c>
    </row>
    <row r="1762" spans="1:2" x14ac:dyDescent="0.25">
      <c r="A1762" s="198">
        <v>44174</v>
      </c>
      <c r="B1762" s="244">
        <v>4.4819000000000004</v>
      </c>
    </row>
    <row r="1763" spans="1:2" x14ac:dyDescent="0.25">
      <c r="A1763" s="198">
        <v>44175</v>
      </c>
      <c r="B1763" s="244">
        <v>4.4775</v>
      </c>
    </row>
    <row r="1764" spans="1:2" x14ac:dyDescent="0.25">
      <c r="A1764" s="198">
        <v>44176</v>
      </c>
      <c r="B1764" s="244">
        <v>4.4782000000000002</v>
      </c>
    </row>
    <row r="1765" spans="1:2" x14ac:dyDescent="0.25">
      <c r="A1765" s="198">
        <v>44179</v>
      </c>
      <c r="B1765" s="244">
        <v>4.4775</v>
      </c>
    </row>
    <row r="1766" spans="1:2" x14ac:dyDescent="0.25">
      <c r="A1766" s="198">
        <v>44180</v>
      </c>
      <c r="B1766" s="244">
        <v>4.4744999999999999</v>
      </c>
    </row>
    <row r="1767" spans="1:2" x14ac:dyDescent="0.25">
      <c r="A1767" s="198">
        <v>44181</v>
      </c>
      <c r="B1767" s="244">
        <v>4.4710000000000001</v>
      </c>
    </row>
    <row r="1768" spans="1:2" x14ac:dyDescent="0.25">
      <c r="A1768" s="198">
        <v>44182</v>
      </c>
      <c r="B1768" s="244">
        <v>4.5</v>
      </c>
    </row>
    <row r="1769" spans="1:2" x14ac:dyDescent="0.25">
      <c r="A1769" s="198">
        <v>44183</v>
      </c>
      <c r="B1769" s="244">
        <v>4.4965000000000002</v>
      </c>
    </row>
    <row r="1770" spans="1:2" x14ac:dyDescent="0.25">
      <c r="A1770" s="198">
        <v>44186</v>
      </c>
      <c r="B1770" s="244">
        <v>4.4939999999999998</v>
      </c>
    </row>
    <row r="1771" spans="1:2" x14ac:dyDescent="0.25">
      <c r="A1771" s="198">
        <v>44187</v>
      </c>
      <c r="B1771" s="244">
        <v>4.4950000000000001</v>
      </c>
    </row>
    <row r="1772" spans="1:2" x14ac:dyDescent="0.25">
      <c r="A1772" s="198">
        <v>44188</v>
      </c>
      <c r="B1772" s="244">
        <v>4.4922000000000004</v>
      </c>
    </row>
    <row r="1773" spans="1:2" x14ac:dyDescent="0.25">
      <c r="A1773" s="198">
        <v>44189</v>
      </c>
      <c r="B1773" s="244">
        <v>4.4882</v>
      </c>
    </row>
    <row r="1774" spans="1:2" x14ac:dyDescent="0.25">
      <c r="A1774" s="198">
        <v>44193</v>
      </c>
      <c r="B1774" s="244">
        <v>4.4878</v>
      </c>
    </row>
    <row r="1775" spans="1:2" x14ac:dyDescent="0.25">
      <c r="A1775" s="198">
        <v>44194</v>
      </c>
      <c r="B1775" s="244">
        <v>4.4874999999999998</v>
      </c>
    </row>
    <row r="1776" spans="1:2" x14ac:dyDescent="0.25">
      <c r="A1776" s="198">
        <v>44195</v>
      </c>
      <c r="B1776" s="244">
        <v>4.4850000000000003</v>
      </c>
    </row>
    <row r="1777" spans="1:2" x14ac:dyDescent="0.25">
      <c r="A1777" s="198">
        <v>44196</v>
      </c>
      <c r="B1777" s="244">
        <v>4.4842000000000004</v>
      </c>
    </row>
    <row r="1778" spans="1:2" x14ac:dyDescent="0.25">
      <c r="A1778" s="198">
        <v>44200</v>
      </c>
      <c r="B1778" s="244">
        <v>4.4805000000000001</v>
      </c>
    </row>
    <row r="1779" spans="1:2" x14ac:dyDescent="0.25">
      <c r="A1779" s="198">
        <v>44201</v>
      </c>
      <c r="B1779" s="244">
        <v>4.4809999999999999</v>
      </c>
    </row>
    <row r="1780" spans="1:2" x14ac:dyDescent="0.25">
      <c r="A1780" s="198">
        <v>44202</v>
      </c>
      <c r="B1780" s="244">
        <v>4.4812000000000003</v>
      </c>
    </row>
    <row r="1781" spans="1:2" x14ac:dyDescent="0.25">
      <c r="A1781" s="198">
        <v>44203</v>
      </c>
      <c r="B1781" s="244">
        <v>4.4775999999999998</v>
      </c>
    </row>
    <row r="1782" spans="1:2" x14ac:dyDescent="0.25">
      <c r="A1782" s="198">
        <v>44204</v>
      </c>
      <c r="B1782" s="244">
        <v>4.4775</v>
      </c>
    </row>
    <row r="1783" spans="1:2" x14ac:dyDescent="0.25">
      <c r="A1783" s="198">
        <v>44207</v>
      </c>
      <c r="B1783" s="244">
        <v>4.4775</v>
      </c>
    </row>
    <row r="1784" spans="1:2" x14ac:dyDescent="0.25">
      <c r="A1784" s="198">
        <v>44208</v>
      </c>
      <c r="B1784" s="244">
        <v>4.4749999999999996</v>
      </c>
    </row>
    <row r="1785" spans="1:2" x14ac:dyDescent="0.25">
      <c r="A1785" s="198">
        <v>44209</v>
      </c>
      <c r="B1785" s="244">
        <v>4.4715999999999996</v>
      </c>
    </row>
    <row r="1786" spans="1:2" x14ac:dyDescent="0.25">
      <c r="A1786" s="198">
        <v>44210</v>
      </c>
      <c r="B1786" s="244">
        <v>4.47</v>
      </c>
    </row>
    <row r="1787" spans="1:2" x14ac:dyDescent="0.25">
      <c r="A1787" s="198">
        <v>44211</v>
      </c>
      <c r="B1787" s="244">
        <v>4.4676999999999998</v>
      </c>
    </row>
    <row r="1788" spans="1:2" x14ac:dyDescent="0.25">
      <c r="A1788" s="198">
        <v>44214</v>
      </c>
      <c r="B1788" s="244">
        <v>4.4675000000000002</v>
      </c>
    </row>
    <row r="1789" spans="1:2" x14ac:dyDescent="0.25">
      <c r="A1789" s="198">
        <v>44215</v>
      </c>
      <c r="B1789" s="244">
        <v>4.4654999999999996</v>
      </c>
    </row>
    <row r="1790" spans="1:2" x14ac:dyDescent="0.25">
      <c r="A1790" s="198">
        <v>44216</v>
      </c>
      <c r="B1790" s="244">
        <v>4.4667000000000003</v>
      </c>
    </row>
    <row r="1791" spans="1:2" x14ac:dyDescent="0.25">
      <c r="A1791" s="198">
        <v>44217</v>
      </c>
      <c r="B1791" s="244">
        <v>4.4637000000000002</v>
      </c>
    </row>
    <row r="1792" spans="1:2" x14ac:dyDescent="0.25">
      <c r="A1792" s="198">
        <v>44218</v>
      </c>
      <c r="B1792" s="244">
        <v>4.4615</v>
      </c>
    </row>
    <row r="1793" spans="1:2" x14ac:dyDescent="0.25">
      <c r="A1793" s="198">
        <v>44221</v>
      </c>
      <c r="B1793" s="244">
        <v>4.4615</v>
      </c>
    </row>
    <row r="1794" spans="1:2" x14ac:dyDescent="0.25">
      <c r="A1794" s="198">
        <v>44222</v>
      </c>
      <c r="B1794" s="244">
        <v>4.4592000000000001</v>
      </c>
    </row>
    <row r="1795" spans="1:2" x14ac:dyDescent="0.25">
      <c r="A1795" s="198">
        <v>44223</v>
      </c>
      <c r="B1795" s="244">
        <v>4.4565000000000001</v>
      </c>
    </row>
    <row r="1796" spans="1:2" x14ac:dyDescent="0.25">
      <c r="A1796" s="198">
        <v>44224</v>
      </c>
      <c r="B1796" s="244">
        <v>4.4542000000000002</v>
      </c>
    </row>
    <row r="1797" spans="1:2" x14ac:dyDescent="0.25">
      <c r="A1797" s="198">
        <v>44225</v>
      </c>
      <c r="B1797" s="244">
        <v>4.452</v>
      </c>
    </row>
    <row r="1798" spans="1:2" x14ac:dyDescent="0.25">
      <c r="A1798" s="198">
        <v>44229</v>
      </c>
      <c r="B1798" s="244">
        <v>4.45</v>
      </c>
    </row>
    <row r="1799" spans="1:2" x14ac:dyDescent="0.25">
      <c r="A1799" s="198">
        <v>44230</v>
      </c>
      <c r="B1799" s="244">
        <v>4.4504000000000001</v>
      </c>
    </row>
    <row r="1800" spans="1:2" x14ac:dyDescent="0.25">
      <c r="A1800" s="198">
        <v>44231</v>
      </c>
      <c r="B1800" s="244">
        <v>4.4477000000000002</v>
      </c>
    </row>
    <row r="1801" spans="1:2" x14ac:dyDescent="0.25">
      <c r="A1801" s="198">
        <v>44232</v>
      </c>
      <c r="B1801" s="244">
        <v>4.4465000000000003</v>
      </c>
    </row>
    <row r="1802" spans="1:2" x14ac:dyDescent="0.25">
      <c r="A1802" s="198">
        <v>44235</v>
      </c>
      <c r="B1802" s="244">
        <v>4.4436999999999998</v>
      </c>
    </row>
    <row r="1803" spans="1:2" x14ac:dyDescent="0.25">
      <c r="A1803" s="198">
        <v>44236</v>
      </c>
      <c r="B1803" s="244">
        <v>4.4424999999999999</v>
      </c>
    </row>
    <row r="1804" spans="1:2" x14ac:dyDescent="0.25">
      <c r="A1804" s="198">
        <v>44237</v>
      </c>
      <c r="B1804" s="244">
        <v>4.4420000000000002</v>
      </c>
    </row>
    <row r="1805" spans="1:2" x14ac:dyDescent="0.25">
      <c r="A1805" s="198">
        <v>44238</v>
      </c>
      <c r="B1805" s="244">
        <v>4.4414999999999996</v>
      </c>
    </row>
    <row r="1806" spans="1:2" x14ac:dyDescent="0.25">
      <c r="A1806" s="198">
        <v>44239</v>
      </c>
      <c r="B1806" s="244">
        <v>4.4489999999999998</v>
      </c>
    </row>
    <row r="1807" spans="1:2" x14ac:dyDescent="0.25">
      <c r="A1807" s="198">
        <v>44242</v>
      </c>
      <c r="B1807" s="244">
        <v>4.2948000000000004</v>
      </c>
    </row>
    <row r="1808" spans="1:2" x14ac:dyDescent="0.25">
      <c r="A1808" s="198">
        <v>44243</v>
      </c>
      <c r="B1808" s="244">
        <v>4.2925000000000004</v>
      </c>
    </row>
    <row r="1809" spans="1:2" x14ac:dyDescent="0.25">
      <c r="A1809" s="198">
        <v>44244</v>
      </c>
      <c r="B1809" s="244">
        <v>4.2915000000000001</v>
      </c>
    </row>
    <row r="1810" spans="1:2" x14ac:dyDescent="0.25">
      <c r="A1810" s="198">
        <v>44245</v>
      </c>
      <c r="B1810" s="244">
        <v>4.2889999999999997</v>
      </c>
    </row>
    <row r="1811" spans="1:2" x14ac:dyDescent="0.25">
      <c r="A1811" s="198">
        <v>44246</v>
      </c>
      <c r="B1811" s="244">
        <v>4.2874999999999996</v>
      </c>
    </row>
    <row r="1812" spans="1:2" x14ac:dyDescent="0.25">
      <c r="A1812" s="198">
        <v>44249</v>
      </c>
      <c r="B1812" s="244">
        <v>4.2865000000000002</v>
      </c>
    </row>
    <row r="1813" spans="1:2" x14ac:dyDescent="0.25">
      <c r="A1813" s="198">
        <v>44250</v>
      </c>
      <c r="B1813" s="244">
        <v>4.2874999999999996</v>
      </c>
    </row>
    <row r="1814" spans="1:2" x14ac:dyDescent="0.25">
      <c r="A1814" s="198">
        <v>44251</v>
      </c>
      <c r="B1814" s="244">
        <v>4.2862</v>
      </c>
    </row>
    <row r="1815" spans="1:2" x14ac:dyDescent="0.25">
      <c r="A1815" s="198">
        <v>44252</v>
      </c>
      <c r="B1815" s="244">
        <v>4.2831000000000001</v>
      </c>
    </row>
    <row r="1816" spans="1:2" x14ac:dyDescent="0.25">
      <c r="A1816" s="198">
        <v>44253</v>
      </c>
      <c r="B1816" s="244">
        <v>4.2824999999999998</v>
      </c>
    </row>
    <row r="1817" spans="1:2" x14ac:dyDescent="0.25">
      <c r="A1817" s="198">
        <v>44256</v>
      </c>
      <c r="B1817" s="244">
        <v>4.2812000000000001</v>
      </c>
    </row>
    <row r="1818" spans="1:2" x14ac:dyDescent="0.25">
      <c r="A1818" s="198">
        <v>44257</v>
      </c>
      <c r="B1818" s="244">
        <v>4.2824999999999998</v>
      </c>
    </row>
    <row r="1819" spans="1:2" x14ac:dyDescent="0.25">
      <c r="A1819" s="198">
        <v>44258</v>
      </c>
      <c r="B1819" s="244">
        <v>4.2812999999999999</v>
      </c>
    </row>
    <row r="1820" spans="1:2" x14ac:dyDescent="0.25">
      <c r="A1820" s="198">
        <v>44259</v>
      </c>
      <c r="B1820" s="244">
        <v>4.2824999999999998</v>
      </c>
    </row>
    <row r="1821" spans="1:2" x14ac:dyDescent="0.25">
      <c r="A1821" s="198">
        <v>44260</v>
      </c>
      <c r="B1821" s="244">
        <v>4.2824999999999998</v>
      </c>
    </row>
    <row r="1822" spans="1:2" x14ac:dyDescent="0.25">
      <c r="A1822" s="198">
        <v>44263</v>
      </c>
      <c r="B1822" s="244">
        <v>4.282</v>
      </c>
    </row>
    <row r="1823" spans="1:2" x14ac:dyDescent="0.25">
      <c r="A1823" s="198">
        <v>44264</v>
      </c>
      <c r="B1823" s="244">
        <v>4.2850000000000001</v>
      </c>
    </row>
    <row r="1824" spans="1:2" x14ac:dyDescent="0.25">
      <c r="A1824" s="198">
        <v>44265</v>
      </c>
      <c r="B1824" s="244">
        <v>4.2839999999999998</v>
      </c>
    </row>
    <row r="1825" spans="1:2" x14ac:dyDescent="0.25">
      <c r="A1825" s="198">
        <v>44266</v>
      </c>
      <c r="B1825" s="244">
        <v>4.2845000000000004</v>
      </c>
    </row>
    <row r="1826" spans="1:2" x14ac:dyDescent="0.25">
      <c r="A1826" s="198">
        <v>44267</v>
      </c>
      <c r="B1826" s="244">
        <v>4.2845000000000004</v>
      </c>
    </row>
    <row r="1827" spans="1:2" x14ac:dyDescent="0.25">
      <c r="A1827" s="198">
        <v>44271</v>
      </c>
      <c r="B1827" s="244">
        <v>4.2830000000000004</v>
      </c>
    </row>
    <row r="1828" spans="1:2" x14ac:dyDescent="0.25">
      <c r="A1828" s="198">
        <v>44272</v>
      </c>
      <c r="B1828" s="244">
        <v>4.2824999999999998</v>
      </c>
    </row>
    <row r="1829" spans="1:2" x14ac:dyDescent="0.25">
      <c r="A1829" s="198">
        <v>44273</v>
      </c>
      <c r="B1829" s="244">
        <v>4.2812000000000001</v>
      </c>
    </row>
    <row r="1830" spans="1:2" x14ac:dyDescent="0.25">
      <c r="A1830" s="198">
        <v>44274</v>
      </c>
      <c r="B1830" s="244">
        <v>4.2812000000000001</v>
      </c>
    </row>
    <row r="1831" spans="1:2" x14ac:dyDescent="0.25">
      <c r="A1831" s="198">
        <v>44277</v>
      </c>
      <c r="B1831" s="244">
        <v>4.2850000000000001</v>
      </c>
    </row>
    <row r="1832" spans="1:2" x14ac:dyDescent="0.25">
      <c r="A1832" s="198">
        <v>44278</v>
      </c>
      <c r="B1832" s="244">
        <v>4.2836999999999996</v>
      </c>
    </row>
    <row r="1833" spans="1:2" x14ac:dyDescent="0.25">
      <c r="A1833" s="198">
        <v>44279</v>
      </c>
      <c r="B1833" s="244">
        <v>4.2824999999999998</v>
      </c>
    </row>
    <row r="1834" spans="1:2" x14ac:dyDescent="0.25">
      <c r="A1834" s="198">
        <v>44280</v>
      </c>
      <c r="B1834" s="244">
        <v>4.2824999999999998</v>
      </c>
    </row>
    <row r="1835" spans="1:2" x14ac:dyDescent="0.25">
      <c r="A1835" s="198">
        <v>44281</v>
      </c>
      <c r="B1835" s="244">
        <v>4.2830000000000004</v>
      </c>
    </row>
    <row r="1836" spans="1:2" x14ac:dyDescent="0.25">
      <c r="A1836" s="198">
        <v>44284</v>
      </c>
      <c r="B1836" s="244">
        <v>4.2862</v>
      </c>
    </row>
    <row r="1837" spans="1:2" x14ac:dyDescent="0.25">
      <c r="A1837" s="198">
        <v>44285</v>
      </c>
      <c r="B1837" s="244">
        <v>4.2850000000000001</v>
      </c>
    </row>
    <row r="1838" spans="1:2" x14ac:dyDescent="0.25">
      <c r="A1838" s="198">
        <v>44286</v>
      </c>
      <c r="B1838" s="244">
        <v>4.2874999999999996</v>
      </c>
    </row>
    <row r="1839" spans="1:2" x14ac:dyDescent="0.25">
      <c r="A1839" s="198">
        <v>44291</v>
      </c>
      <c r="B1839" s="244">
        <v>4.2874999999999996</v>
      </c>
    </row>
    <row r="1840" spans="1:2" x14ac:dyDescent="0.25">
      <c r="A1840" s="198">
        <v>44292</v>
      </c>
      <c r="B1840" s="244">
        <v>4.2880000000000003</v>
      </c>
    </row>
    <row r="1841" spans="1:2" x14ac:dyDescent="0.25">
      <c r="A1841" s="198">
        <v>44293</v>
      </c>
      <c r="B1841" s="244">
        <v>4.2885</v>
      </c>
    </row>
    <row r="1842" spans="1:2" x14ac:dyDescent="0.25">
      <c r="A1842" s="198">
        <v>44294</v>
      </c>
      <c r="B1842" s="244">
        <v>4.2874999999999996</v>
      </c>
    </row>
    <row r="1843" spans="1:2" x14ac:dyDescent="0.25">
      <c r="A1843" s="198">
        <v>44295</v>
      </c>
      <c r="B1843" s="244">
        <v>4.2874999999999996</v>
      </c>
    </row>
    <row r="1844" spans="1:2" x14ac:dyDescent="0.25">
      <c r="A1844" s="198">
        <v>44298</v>
      </c>
      <c r="B1844" s="244">
        <v>4.2885</v>
      </c>
    </row>
    <row r="1845" spans="1:2" x14ac:dyDescent="0.25">
      <c r="A1845" s="198">
        <v>44299</v>
      </c>
      <c r="B1845" s="244">
        <v>4.2874999999999996</v>
      </c>
    </row>
    <row r="1846" spans="1:2" x14ac:dyDescent="0.25">
      <c r="A1846" s="198">
        <v>44300</v>
      </c>
      <c r="B1846" s="244">
        <v>4.2885</v>
      </c>
    </row>
    <row r="1847" spans="1:2" x14ac:dyDescent="0.25">
      <c r="A1847" s="198">
        <v>44301</v>
      </c>
      <c r="B1847" s="244">
        <v>4.2850000000000001</v>
      </c>
    </row>
    <row r="1848" spans="1:2" x14ac:dyDescent="0.25">
      <c r="A1848" s="198">
        <v>44302</v>
      </c>
      <c r="B1848" s="244">
        <v>4.2831000000000001</v>
      </c>
    </row>
    <row r="1849" spans="1:2" x14ac:dyDescent="0.25">
      <c r="A1849" s="198">
        <v>44305</v>
      </c>
      <c r="B1849" s="244">
        <v>4.2815000000000003</v>
      </c>
    </row>
    <row r="1850" spans="1:2" x14ac:dyDescent="0.25">
      <c r="A1850" s="198">
        <v>44306</v>
      </c>
      <c r="B1850" s="244">
        <v>4.2824999999999998</v>
      </c>
    </row>
    <row r="1851" spans="1:2" x14ac:dyDescent="0.25">
      <c r="A1851" s="198">
        <v>44307</v>
      </c>
      <c r="B1851" s="244">
        <v>4.2828999999999997</v>
      </c>
    </row>
    <row r="1852" spans="1:2" x14ac:dyDescent="0.25">
      <c r="A1852" s="198">
        <v>44308</v>
      </c>
      <c r="B1852" s="244">
        <v>4.2809999999999997</v>
      </c>
    </row>
    <row r="1853" spans="1:2" x14ac:dyDescent="0.25">
      <c r="A1853" s="198">
        <v>44309</v>
      </c>
      <c r="B1853" s="244">
        <v>4.2809999999999997</v>
      </c>
    </row>
    <row r="1854" spans="1:2" x14ac:dyDescent="0.25">
      <c r="A1854" s="198">
        <v>44312</v>
      </c>
      <c r="B1854" s="244">
        <v>4.2824999999999998</v>
      </c>
    </row>
    <row r="1855" spans="1:2" x14ac:dyDescent="0.25">
      <c r="A1855" s="198">
        <v>44313</v>
      </c>
      <c r="B1855" s="244">
        <v>4.2809999999999997</v>
      </c>
    </row>
    <row r="1856" spans="1:2" x14ac:dyDescent="0.25">
      <c r="A1856" s="198">
        <v>44314</v>
      </c>
      <c r="B1856" s="244">
        <v>4.2809999999999997</v>
      </c>
    </row>
    <row r="1857" spans="1:2" x14ac:dyDescent="0.25">
      <c r="A1857" s="198">
        <v>44315</v>
      </c>
      <c r="B1857" s="244">
        <v>4.2809999999999997</v>
      </c>
    </row>
    <row r="1858" spans="1:2" x14ac:dyDescent="0.25">
      <c r="A1858" s="198">
        <v>44316</v>
      </c>
      <c r="B1858" s="244">
        <v>4.2830000000000004</v>
      </c>
    </row>
    <row r="1859" spans="1:2" x14ac:dyDescent="0.25">
      <c r="A1859" s="198">
        <v>44319</v>
      </c>
      <c r="B1859" s="244">
        <v>4.2850000000000001</v>
      </c>
    </row>
    <row r="1860" spans="1:2" x14ac:dyDescent="0.25">
      <c r="A1860" s="198">
        <v>44320</v>
      </c>
      <c r="B1860" s="244">
        <v>4.2851999999999997</v>
      </c>
    </row>
    <row r="1861" spans="1:2" x14ac:dyDescent="0.25">
      <c r="A1861" s="198">
        <v>44321</v>
      </c>
      <c r="B1861" s="244">
        <v>4.2859999999999996</v>
      </c>
    </row>
    <row r="1862" spans="1:2" x14ac:dyDescent="0.25">
      <c r="A1862" s="198">
        <v>44322</v>
      </c>
      <c r="B1862" s="244">
        <v>4.2839999999999998</v>
      </c>
    </row>
    <row r="1863" spans="1:2" x14ac:dyDescent="0.25">
      <c r="A1863" s="198">
        <v>44323</v>
      </c>
      <c r="B1863" s="244">
        <v>4.2836999999999996</v>
      </c>
    </row>
    <row r="1864" spans="1:2" x14ac:dyDescent="0.25">
      <c r="A1864" s="198">
        <v>44326</v>
      </c>
      <c r="B1864" s="244">
        <v>4.2836999999999996</v>
      </c>
    </row>
    <row r="1865" spans="1:2" x14ac:dyDescent="0.25">
      <c r="A1865" s="198">
        <v>44327</v>
      </c>
      <c r="B1865" s="244">
        <v>4.2850000000000001</v>
      </c>
    </row>
    <row r="1866" spans="1:2" x14ac:dyDescent="0.25">
      <c r="A1866" s="198">
        <v>44328</v>
      </c>
      <c r="B1866" s="244">
        <v>4.2874999999999996</v>
      </c>
    </row>
    <row r="1867" spans="1:2" x14ac:dyDescent="0.25">
      <c r="A1867" s="198">
        <v>44329</v>
      </c>
      <c r="B1867" s="244">
        <v>4.2872000000000003</v>
      </c>
    </row>
    <row r="1868" spans="1:2" x14ac:dyDescent="0.25">
      <c r="A1868" s="198">
        <v>44330</v>
      </c>
      <c r="B1868" s="244">
        <v>4.2896999999999998</v>
      </c>
    </row>
    <row r="1869" spans="1:2" x14ac:dyDescent="0.25">
      <c r="A1869" s="198">
        <v>44333</v>
      </c>
      <c r="B1869" s="244">
        <v>4.29</v>
      </c>
    </row>
    <row r="1870" spans="1:2" x14ac:dyDescent="0.25">
      <c r="A1870" s="198">
        <v>44334</v>
      </c>
      <c r="B1870" s="244">
        <v>4.2892000000000001</v>
      </c>
    </row>
    <row r="1871" spans="1:2" x14ac:dyDescent="0.25">
      <c r="A1871" s="198">
        <v>44335</v>
      </c>
      <c r="B1871" s="244">
        <v>4.2889999999999997</v>
      </c>
    </row>
    <row r="1872" spans="1:2" x14ac:dyDescent="0.25">
      <c r="A1872" s="198">
        <v>44336</v>
      </c>
      <c r="B1872" s="244">
        <v>4.2885</v>
      </c>
    </row>
    <row r="1873" spans="1:2" x14ac:dyDescent="0.25">
      <c r="A1873" s="198">
        <v>44337</v>
      </c>
      <c r="B1873" s="244">
        <v>4.2744999999999997</v>
      </c>
    </row>
    <row r="1874" spans="1:2" x14ac:dyDescent="0.25">
      <c r="A1874" s="198">
        <v>44340</v>
      </c>
      <c r="B1874" s="244">
        <v>4.2815000000000003</v>
      </c>
    </row>
    <row r="1875" spans="1:2" x14ac:dyDescent="0.25">
      <c r="A1875" s="198">
        <v>44341</v>
      </c>
      <c r="B1875" s="244">
        <v>4.2824</v>
      </c>
    </row>
    <row r="1876" spans="1:2" x14ac:dyDescent="0.25">
      <c r="A1876" s="198">
        <v>44342</v>
      </c>
      <c r="B1876" s="244">
        <v>4.2815000000000003</v>
      </c>
    </row>
    <row r="1877" spans="1:2" x14ac:dyDescent="0.25">
      <c r="A1877" s="198">
        <v>44343</v>
      </c>
      <c r="B1877" s="244">
        <v>4.2850000000000001</v>
      </c>
    </row>
    <row r="1878" spans="1:2" x14ac:dyDescent="0.25">
      <c r="A1878" s="198">
        <v>44344</v>
      </c>
      <c r="B1878" s="244">
        <v>4.2850000000000001</v>
      </c>
    </row>
    <row r="1879" spans="1:2" x14ac:dyDescent="0.25">
      <c r="A1879" s="198">
        <v>44347</v>
      </c>
      <c r="B1879" s="244">
        <v>4.2839999999999998</v>
      </c>
    </row>
    <row r="1880" spans="1:2" x14ac:dyDescent="0.25">
      <c r="A1880" s="198">
        <v>44348</v>
      </c>
      <c r="B1880" s="244">
        <v>4.2830000000000004</v>
      </c>
    </row>
    <row r="1881" spans="1:2" x14ac:dyDescent="0.25">
      <c r="A1881" s="198">
        <v>44349</v>
      </c>
      <c r="B1881" s="244">
        <v>4.2824999999999998</v>
      </c>
    </row>
    <row r="1882" spans="1:2" x14ac:dyDescent="0.25">
      <c r="A1882" s="198">
        <v>44350</v>
      </c>
      <c r="B1882" s="244">
        <v>4.2824999999999998</v>
      </c>
    </row>
    <row r="1883" spans="1:2" x14ac:dyDescent="0.25">
      <c r="A1883" s="198">
        <v>44351</v>
      </c>
      <c r="B1883" s="244">
        <v>4.2809999999999997</v>
      </c>
    </row>
    <row r="1884" spans="1:2" x14ac:dyDescent="0.25">
      <c r="A1884" s="198">
        <v>44354</v>
      </c>
      <c r="B1884" s="244">
        <v>4.2821999999999996</v>
      </c>
    </row>
    <row r="1885" spans="1:2" x14ac:dyDescent="0.25">
      <c r="A1885" s="198">
        <v>44355</v>
      </c>
      <c r="B1885" s="244">
        <v>4.2815000000000003</v>
      </c>
    </row>
    <row r="1886" spans="1:2" x14ac:dyDescent="0.25">
      <c r="A1886" s="198">
        <v>44356</v>
      </c>
      <c r="B1886" s="244">
        <v>4.2850000000000001</v>
      </c>
    </row>
    <row r="1887" spans="1:2" x14ac:dyDescent="0.25">
      <c r="A1887" s="198">
        <v>44357</v>
      </c>
      <c r="B1887" s="244">
        <v>4.2827000000000002</v>
      </c>
    </row>
    <row r="1888" spans="1:2" x14ac:dyDescent="0.25">
      <c r="A1888" s="198">
        <v>44358</v>
      </c>
      <c r="B1888" s="244">
        <v>4.282</v>
      </c>
    </row>
    <row r="1889" spans="1:2" x14ac:dyDescent="0.25">
      <c r="A1889" s="198">
        <v>44361</v>
      </c>
      <c r="B1889" s="244">
        <v>4.2850000000000001</v>
      </c>
    </row>
    <row r="1890" spans="1:2" x14ac:dyDescent="0.25">
      <c r="A1890" s="198">
        <v>44362</v>
      </c>
      <c r="B1890" s="244">
        <v>4.2858999999999998</v>
      </c>
    </row>
    <row r="1891" spans="1:2" x14ac:dyDescent="0.25">
      <c r="A1891" s="198">
        <v>44363</v>
      </c>
      <c r="B1891" s="244">
        <v>4.2874999999999996</v>
      </c>
    </row>
    <row r="1892" spans="1:2" x14ac:dyDescent="0.25">
      <c r="A1892" s="198">
        <v>44364</v>
      </c>
      <c r="B1892" s="244">
        <v>4.2850000000000001</v>
      </c>
    </row>
    <row r="1893" spans="1:2" x14ac:dyDescent="0.25">
      <c r="A1893" s="198">
        <v>44365</v>
      </c>
      <c r="B1893" s="244">
        <v>4.2854999999999999</v>
      </c>
    </row>
    <row r="1894" spans="1:2" x14ac:dyDescent="0.25">
      <c r="A1894" s="198">
        <v>44368</v>
      </c>
      <c r="B1894" s="244">
        <v>4.2855999999999996</v>
      </c>
    </row>
    <row r="1895" spans="1:2" x14ac:dyDescent="0.25">
      <c r="A1895" s="198">
        <v>44369</v>
      </c>
      <c r="B1895" s="244">
        <v>4.2850000000000001</v>
      </c>
    </row>
    <row r="1896" spans="1:2" x14ac:dyDescent="0.25">
      <c r="A1896" s="198">
        <v>44370</v>
      </c>
      <c r="B1896" s="244">
        <v>4.2850000000000001</v>
      </c>
    </row>
    <row r="1897" spans="1:2" x14ac:dyDescent="0.25">
      <c r="A1897" s="198">
        <v>44371</v>
      </c>
      <c r="B1897" s="244">
        <v>4.2827000000000002</v>
      </c>
    </row>
    <row r="1898" spans="1:2" x14ac:dyDescent="0.25">
      <c r="A1898" s="198">
        <v>44372</v>
      </c>
      <c r="B1898" s="244">
        <v>4.2862999999999998</v>
      </c>
    </row>
    <row r="1899" spans="1:2" x14ac:dyDescent="0.25">
      <c r="A1899" s="198">
        <v>44375</v>
      </c>
      <c r="B1899" s="244">
        <v>4.5199999999999996</v>
      </c>
    </row>
    <row r="1900" spans="1:2" x14ac:dyDescent="0.25">
      <c r="A1900" s="198">
        <v>44376</v>
      </c>
      <c r="B1900" s="244">
        <v>4.53</v>
      </c>
    </row>
    <row r="1901" spans="1:2" x14ac:dyDescent="0.25">
      <c r="A1901" s="198">
        <v>44377</v>
      </c>
      <c r="B1901" s="244">
        <v>4.5292000000000003</v>
      </c>
    </row>
    <row r="1902" spans="1:2" x14ac:dyDescent="0.25">
      <c r="A1902" s="198">
        <v>44378</v>
      </c>
      <c r="B1902" s="244">
        <v>4.5289999999999999</v>
      </c>
    </row>
    <row r="1903" spans="1:2" x14ac:dyDescent="0.25">
      <c r="A1903" s="198">
        <v>44379</v>
      </c>
      <c r="B1903" s="244">
        <v>4.5289999999999999</v>
      </c>
    </row>
    <row r="1904" spans="1:2" x14ac:dyDescent="0.25">
      <c r="A1904" s="198">
        <v>44382</v>
      </c>
      <c r="B1904" s="244">
        <v>4.5265000000000004</v>
      </c>
    </row>
    <row r="1905" spans="1:2" x14ac:dyDescent="0.25">
      <c r="A1905" s="198">
        <v>44383</v>
      </c>
      <c r="B1905" s="244">
        <v>4.5265000000000004</v>
      </c>
    </row>
    <row r="1906" spans="1:2" x14ac:dyDescent="0.25">
      <c r="A1906" s="198">
        <v>44384</v>
      </c>
      <c r="B1906" s="244">
        <v>4.5244999999999997</v>
      </c>
    </row>
    <row r="1907" spans="1:2" x14ac:dyDescent="0.25">
      <c r="A1907" s="198">
        <v>44385</v>
      </c>
      <c r="B1907" s="244">
        <v>4.524</v>
      </c>
    </row>
    <row r="1908" spans="1:2" x14ac:dyDescent="0.25">
      <c r="A1908" s="198">
        <v>44386</v>
      </c>
      <c r="B1908" s="244">
        <v>4.5235000000000003</v>
      </c>
    </row>
    <row r="1909" spans="1:2" x14ac:dyDescent="0.25">
      <c r="A1909" s="198">
        <v>44389</v>
      </c>
      <c r="B1909" s="244">
        <v>4.5250000000000004</v>
      </c>
    </row>
    <row r="1910" spans="1:2" x14ac:dyDescent="0.25">
      <c r="A1910" s="198">
        <v>44390</v>
      </c>
      <c r="B1910" s="244">
        <v>4.524</v>
      </c>
    </row>
    <row r="1911" spans="1:2" x14ac:dyDescent="0.25">
      <c r="A1911" s="198">
        <v>44391</v>
      </c>
      <c r="B1911" s="244">
        <v>4.5225</v>
      </c>
    </row>
    <row r="1912" spans="1:2" x14ac:dyDescent="0.25">
      <c r="A1912" s="198">
        <v>44392</v>
      </c>
      <c r="B1912" s="244">
        <v>4.5244999999999997</v>
      </c>
    </row>
    <row r="1913" spans="1:2" x14ac:dyDescent="0.25">
      <c r="A1913" s="198">
        <v>44393</v>
      </c>
      <c r="B1913" s="244">
        <v>4.5227000000000004</v>
      </c>
    </row>
    <row r="1914" spans="1:2" x14ac:dyDescent="0.25">
      <c r="A1914" s="198">
        <v>44396</v>
      </c>
      <c r="B1914" s="244">
        <v>4.5214999999999996</v>
      </c>
    </row>
    <row r="1915" spans="1:2" x14ac:dyDescent="0.25">
      <c r="A1915" s="198">
        <v>44397</v>
      </c>
      <c r="B1915" s="244">
        <v>4.5214999999999996</v>
      </c>
    </row>
    <row r="1916" spans="1:2" x14ac:dyDescent="0.25">
      <c r="A1916" s="198">
        <v>44398</v>
      </c>
      <c r="B1916" s="244">
        <v>4.4922000000000004</v>
      </c>
    </row>
    <row r="1917" spans="1:2" x14ac:dyDescent="0.25">
      <c r="A1917" s="198">
        <v>44399</v>
      </c>
      <c r="B1917" s="244">
        <v>4.5054999999999996</v>
      </c>
    </row>
    <row r="1918" spans="1:2" x14ac:dyDescent="0.25">
      <c r="A1918" s="198">
        <v>44400</v>
      </c>
      <c r="B1918" s="244">
        <v>4.5140000000000002</v>
      </c>
    </row>
    <row r="1919" spans="1:2" x14ac:dyDescent="0.25">
      <c r="A1919" s="198">
        <v>44403</v>
      </c>
      <c r="B1919" s="244">
        <v>4.5140000000000002</v>
      </c>
    </row>
    <row r="1920" spans="1:2" x14ac:dyDescent="0.25">
      <c r="A1920" s="198">
        <v>44404</v>
      </c>
      <c r="B1920" s="244">
        <v>4.5129999999999999</v>
      </c>
    </row>
    <row r="1921" spans="1:2" x14ac:dyDescent="0.25">
      <c r="A1921" s="198">
        <v>44405</v>
      </c>
      <c r="B1921" s="244">
        <v>4.5125000000000002</v>
      </c>
    </row>
    <row r="1922" spans="1:2" x14ac:dyDescent="0.25">
      <c r="A1922" s="198">
        <v>44406</v>
      </c>
      <c r="B1922" s="244">
        <v>4.5149999999999997</v>
      </c>
    </row>
    <row r="1923" spans="1:2" x14ac:dyDescent="0.25">
      <c r="A1923" s="198">
        <v>44407</v>
      </c>
      <c r="B1923" s="244">
        <v>4.5141999999999998</v>
      </c>
    </row>
    <row r="1924" spans="1:2" x14ac:dyDescent="0.25">
      <c r="A1924" s="198">
        <v>44410</v>
      </c>
      <c r="B1924" s="244">
        <v>4.5134999999999996</v>
      </c>
    </row>
    <row r="1925" spans="1:2" x14ac:dyDescent="0.25">
      <c r="A1925" s="198">
        <v>44411</v>
      </c>
      <c r="B1925" s="244">
        <v>4.5125000000000002</v>
      </c>
    </row>
    <row r="1926" spans="1:2" x14ac:dyDescent="0.25">
      <c r="A1926" s="198">
        <v>44412</v>
      </c>
      <c r="B1926" s="244">
        <v>4.5140000000000002</v>
      </c>
    </row>
    <row r="1927" spans="1:2" x14ac:dyDescent="0.25">
      <c r="A1927" s="198">
        <v>44413</v>
      </c>
      <c r="B1927" s="244">
        <v>4.5125000000000002</v>
      </c>
    </row>
    <row r="1928" spans="1:2" x14ac:dyDescent="0.25">
      <c r="A1928" s="198">
        <v>44414</v>
      </c>
      <c r="B1928" s="244">
        <v>4.5133000000000001</v>
      </c>
    </row>
    <row r="1929" spans="1:2" x14ac:dyDescent="0.25">
      <c r="A1929" s="198">
        <v>44417</v>
      </c>
      <c r="B1929" s="244">
        <v>4.5114999999999998</v>
      </c>
    </row>
    <row r="1930" spans="1:2" x14ac:dyDescent="0.25">
      <c r="A1930" s="198">
        <v>44418</v>
      </c>
      <c r="B1930" s="244">
        <v>4.5125000000000002</v>
      </c>
    </row>
    <row r="1931" spans="1:2" x14ac:dyDescent="0.25">
      <c r="A1931" s="198">
        <v>44419</v>
      </c>
      <c r="B1931" s="244">
        <v>4.5147000000000004</v>
      </c>
    </row>
    <row r="1932" spans="1:2" x14ac:dyDescent="0.25">
      <c r="A1932" s="198">
        <v>44420</v>
      </c>
      <c r="B1932" s="244">
        <v>4.5199999999999996</v>
      </c>
    </row>
    <row r="1933" spans="1:2" x14ac:dyDescent="0.25">
      <c r="A1933" s="198">
        <v>44421</v>
      </c>
      <c r="B1933" s="244">
        <v>4.5315000000000003</v>
      </c>
    </row>
    <row r="1934" spans="1:2" x14ac:dyDescent="0.25">
      <c r="A1934" s="198">
        <v>44424</v>
      </c>
      <c r="B1934" s="244">
        <v>4.7525000000000004</v>
      </c>
    </row>
    <row r="1935" spans="1:2" x14ac:dyDescent="0.25">
      <c r="A1935" s="198">
        <v>44425</v>
      </c>
      <c r="B1935" s="244">
        <v>4.7531999999999996</v>
      </c>
    </row>
    <row r="1936" spans="1:2" x14ac:dyDescent="0.25">
      <c r="A1936" s="198">
        <v>44426</v>
      </c>
      <c r="B1936" s="244">
        <v>4.7527999999999997</v>
      </c>
    </row>
    <row r="1937" spans="1:2" x14ac:dyDescent="0.25">
      <c r="A1937" s="198">
        <v>44427</v>
      </c>
      <c r="B1937" s="244">
        <v>4.7549999999999999</v>
      </c>
    </row>
    <row r="1938" spans="1:2" x14ac:dyDescent="0.25">
      <c r="A1938" s="198">
        <v>44428</v>
      </c>
      <c r="B1938" s="244">
        <v>4.7575000000000003</v>
      </c>
    </row>
    <row r="1939" spans="1:2" x14ac:dyDescent="0.25">
      <c r="A1939" s="198">
        <v>44431</v>
      </c>
      <c r="B1939" s="244">
        <v>4.7587000000000002</v>
      </c>
    </row>
    <row r="1940" spans="1:2" x14ac:dyDescent="0.25">
      <c r="A1940" s="198">
        <v>44432</v>
      </c>
      <c r="B1940" s="244">
        <v>4.7549999999999999</v>
      </c>
    </row>
    <row r="1941" spans="1:2" x14ac:dyDescent="0.25">
      <c r="A1941" s="198">
        <v>44433</v>
      </c>
      <c r="B1941" s="244">
        <v>4.7544000000000004</v>
      </c>
    </row>
    <row r="1942" spans="1:2" x14ac:dyDescent="0.25">
      <c r="A1942" s="198">
        <v>44434</v>
      </c>
      <c r="B1942" s="244">
        <v>4.7545000000000002</v>
      </c>
    </row>
    <row r="1943" spans="1:2" x14ac:dyDescent="0.25">
      <c r="A1943" s="198">
        <v>44435</v>
      </c>
      <c r="B1943" s="244">
        <v>4.7502000000000004</v>
      </c>
    </row>
    <row r="1944" spans="1:2" x14ac:dyDescent="0.25">
      <c r="A1944" s="198">
        <v>44438</v>
      </c>
      <c r="B1944" s="244">
        <v>4.75</v>
      </c>
    </row>
    <row r="1945" spans="1:2" x14ac:dyDescent="0.25">
      <c r="A1945" s="198">
        <v>44439</v>
      </c>
      <c r="B1945" s="244">
        <v>4.7510000000000003</v>
      </c>
    </row>
    <row r="1946" spans="1:2" x14ac:dyDescent="0.25">
      <c r="A1946" s="198">
        <v>44440</v>
      </c>
      <c r="B1946" s="244">
        <v>4.7489999999999997</v>
      </c>
    </row>
    <row r="1947" spans="1:2" x14ac:dyDescent="0.25">
      <c r="A1947" s="198">
        <v>44441</v>
      </c>
      <c r="B1947" s="244">
        <v>4.7502000000000004</v>
      </c>
    </row>
    <row r="1948" spans="1:2" x14ac:dyDescent="0.25">
      <c r="A1948" s="198">
        <v>44442</v>
      </c>
      <c r="B1948" s="244">
        <v>4.7454999999999998</v>
      </c>
    </row>
    <row r="1949" spans="1:2" x14ac:dyDescent="0.25">
      <c r="A1949" s="198">
        <v>44445</v>
      </c>
      <c r="B1949" s="244">
        <v>4.7424999999999997</v>
      </c>
    </row>
    <row r="1950" spans="1:2" x14ac:dyDescent="0.25">
      <c r="A1950" s="198">
        <v>44446</v>
      </c>
      <c r="B1950" s="244">
        <v>4.7435999999999998</v>
      </c>
    </row>
    <row r="1951" spans="1:2" x14ac:dyDescent="0.25">
      <c r="A1951" s="198">
        <v>44447</v>
      </c>
      <c r="B1951" s="244">
        <v>4.7470999999999997</v>
      </c>
    </row>
    <row r="1952" spans="1:2" x14ac:dyDescent="0.25">
      <c r="A1952" s="198">
        <v>44448</v>
      </c>
      <c r="B1952" s="244">
        <v>4.7484999999999999</v>
      </c>
    </row>
    <row r="1953" spans="1:2" x14ac:dyDescent="0.25">
      <c r="A1953" s="198">
        <v>44449</v>
      </c>
      <c r="B1953" s="244">
        <v>4.7445000000000004</v>
      </c>
    </row>
    <row r="1954" spans="1:2" x14ac:dyDescent="0.25">
      <c r="A1954" s="198">
        <v>44452</v>
      </c>
      <c r="B1954" s="244">
        <v>4.7450000000000001</v>
      </c>
    </row>
    <row r="1955" spans="1:2" x14ac:dyDescent="0.25">
      <c r="A1955" s="198">
        <v>44453</v>
      </c>
      <c r="B1955" s="244">
        <v>4.7424999999999997</v>
      </c>
    </row>
    <row r="1956" spans="1:2" x14ac:dyDescent="0.25">
      <c r="A1956" s="198">
        <v>44454</v>
      </c>
      <c r="B1956" s="244">
        <v>4.7450000000000001</v>
      </c>
    </row>
    <row r="1957" spans="1:2" x14ac:dyDescent="0.25">
      <c r="A1957" s="198">
        <v>44456</v>
      </c>
      <c r="B1957" s="244">
        <v>4.7450000000000001</v>
      </c>
    </row>
    <row r="1958" spans="1:2" x14ac:dyDescent="0.25">
      <c r="A1958" s="198">
        <v>44459</v>
      </c>
      <c r="B1958" s="244">
        <v>4.7450000000000001</v>
      </c>
    </row>
    <row r="1959" spans="1:2" x14ac:dyDescent="0.25">
      <c r="A1959" s="198">
        <v>44460</v>
      </c>
      <c r="B1959" s="244">
        <v>4.7439999999999998</v>
      </c>
    </row>
    <row r="1960" spans="1:2" x14ac:dyDescent="0.25">
      <c r="A1960" s="198">
        <v>44461</v>
      </c>
      <c r="B1960" s="244">
        <v>4.7445000000000004</v>
      </c>
    </row>
    <row r="1961" spans="1:2" x14ac:dyDescent="0.25">
      <c r="A1961" s="198">
        <v>44462</v>
      </c>
      <c r="B1961" s="244">
        <v>4.7474999999999996</v>
      </c>
    </row>
    <row r="1962" spans="1:2" x14ac:dyDescent="0.25">
      <c r="A1962" s="198">
        <v>44463</v>
      </c>
      <c r="B1962" s="244">
        <v>4.7474999999999996</v>
      </c>
    </row>
    <row r="1963" spans="1:2" x14ac:dyDescent="0.25">
      <c r="A1963" s="198">
        <v>44466</v>
      </c>
      <c r="B1963" s="244">
        <v>4.7465000000000002</v>
      </c>
    </row>
    <row r="1964" spans="1:2" x14ac:dyDescent="0.25">
      <c r="A1964" s="198">
        <v>44467</v>
      </c>
      <c r="B1964" s="244">
        <v>4.7474999999999996</v>
      </c>
    </row>
    <row r="1965" spans="1:2" x14ac:dyDescent="0.25">
      <c r="A1965" s="198">
        <v>44468</v>
      </c>
      <c r="B1965" s="244">
        <v>4.7487000000000004</v>
      </c>
    </row>
    <row r="1966" spans="1:2" x14ac:dyDescent="0.25">
      <c r="A1966" s="198">
        <v>44469</v>
      </c>
      <c r="B1966" s="244">
        <v>4.7489999999999997</v>
      </c>
    </row>
    <row r="1967" spans="1:2" x14ac:dyDescent="0.25">
      <c r="A1967" s="198">
        <v>44470</v>
      </c>
      <c r="B1967" s="244">
        <v>4.7515000000000001</v>
      </c>
    </row>
    <row r="1968" spans="1:2" x14ac:dyDescent="0.25">
      <c r="A1968" s="198">
        <v>44473</v>
      </c>
      <c r="B1968" s="244">
        <v>4.9649999999999999</v>
      </c>
    </row>
    <row r="1969" spans="1:2" x14ac:dyDescent="0.25">
      <c r="A1969" s="198">
        <v>44474</v>
      </c>
      <c r="B1969" s="244">
        <v>4.9824999999999999</v>
      </c>
    </row>
    <row r="1970" spans="1:2" x14ac:dyDescent="0.25">
      <c r="A1970" s="198">
        <v>44475</v>
      </c>
      <c r="B1970" s="244">
        <v>4.9850000000000003</v>
      </c>
    </row>
    <row r="1971" spans="1:2" x14ac:dyDescent="0.25">
      <c r="A1971" s="198">
        <v>44476</v>
      </c>
      <c r="B1971" s="244">
        <v>4.9874999999999998</v>
      </c>
    </row>
    <row r="1972" spans="1:2" x14ac:dyDescent="0.25">
      <c r="A1972" s="198">
        <v>44477</v>
      </c>
      <c r="B1972" s="244">
        <v>4.9824999999999999</v>
      </c>
    </row>
    <row r="1973" spans="1:2" x14ac:dyDescent="0.25">
      <c r="A1973" s="198">
        <v>44480</v>
      </c>
      <c r="B1973" s="244">
        <v>4.9850000000000003</v>
      </c>
    </row>
    <row r="1974" spans="1:2" x14ac:dyDescent="0.25">
      <c r="A1974" s="198">
        <v>44481</v>
      </c>
      <c r="B1974" s="244">
        <v>4.9862000000000002</v>
      </c>
    </row>
    <row r="1975" spans="1:2" x14ac:dyDescent="0.25">
      <c r="A1975" s="198">
        <v>44482</v>
      </c>
      <c r="B1975" s="244">
        <v>4.9824999999999999</v>
      </c>
    </row>
    <row r="1976" spans="1:2" x14ac:dyDescent="0.25">
      <c r="A1976" s="198">
        <v>44483</v>
      </c>
      <c r="B1976" s="244">
        <v>4.9856999999999996</v>
      </c>
    </row>
    <row r="1977" spans="1:2" x14ac:dyDescent="0.25">
      <c r="A1977" s="198">
        <v>44484</v>
      </c>
      <c r="B1977" s="244">
        <v>4.9805999999999999</v>
      </c>
    </row>
    <row r="1978" spans="1:2" x14ac:dyDescent="0.25">
      <c r="A1978" s="198">
        <v>44487</v>
      </c>
      <c r="B1978" s="244">
        <v>4.9855</v>
      </c>
    </row>
    <row r="1979" spans="1:2" x14ac:dyDescent="0.25">
      <c r="A1979" s="198">
        <v>44488</v>
      </c>
      <c r="B1979" s="244">
        <v>4.9874999999999998</v>
      </c>
    </row>
    <row r="1980" spans="1:2" x14ac:dyDescent="0.25">
      <c r="A1980" s="198">
        <v>44489</v>
      </c>
      <c r="B1980" s="244">
        <v>4.9824999999999999</v>
      </c>
    </row>
    <row r="1981" spans="1:2" x14ac:dyDescent="0.25">
      <c r="A1981" s="198">
        <v>44490</v>
      </c>
      <c r="B1981" s="244">
        <v>4.9824999999999999</v>
      </c>
    </row>
    <row r="1982" spans="1:2" x14ac:dyDescent="0.25">
      <c r="A1982" s="198">
        <v>44491</v>
      </c>
      <c r="B1982" s="244">
        <v>4.9912000000000001</v>
      </c>
    </row>
    <row r="1983" spans="1:2" x14ac:dyDescent="0.25">
      <c r="A1983" s="198">
        <v>44494</v>
      </c>
      <c r="B1983" s="244">
        <v>4.9924999999999997</v>
      </c>
    </row>
    <row r="1984" spans="1:2" x14ac:dyDescent="0.25">
      <c r="A1984" s="198">
        <v>44495</v>
      </c>
      <c r="B1984" s="244">
        <v>4.9950000000000001</v>
      </c>
    </row>
    <row r="1985" spans="1:2" x14ac:dyDescent="0.25">
      <c r="A1985" s="198">
        <v>44496</v>
      </c>
      <c r="B1985" s="244">
        <v>4.9950000000000001</v>
      </c>
    </row>
    <row r="1986" spans="1:2" x14ac:dyDescent="0.25">
      <c r="A1986" s="198">
        <v>44497</v>
      </c>
      <c r="B1986" s="244">
        <v>4.9950000000000001</v>
      </c>
    </row>
    <row r="1987" spans="1:2" x14ac:dyDescent="0.25">
      <c r="A1987" s="198">
        <v>44498</v>
      </c>
      <c r="B1987" s="244">
        <v>4.9962</v>
      </c>
    </row>
    <row r="1988" spans="1:2" x14ac:dyDescent="0.25">
      <c r="A1988" s="198">
        <v>44501</v>
      </c>
      <c r="B1988" s="244">
        <v>4.9974999999999996</v>
      </c>
    </row>
    <row r="1989" spans="1:2" x14ac:dyDescent="0.25">
      <c r="A1989" s="198">
        <v>44503</v>
      </c>
      <c r="B1989" s="244">
        <v>5.0004</v>
      </c>
    </row>
    <row r="1990" spans="1:2" x14ac:dyDescent="0.25">
      <c r="A1990" s="198">
        <v>44504</v>
      </c>
      <c r="B1990" s="244">
        <v>5.0022000000000002</v>
      </c>
    </row>
    <row r="1991" spans="1:2" x14ac:dyDescent="0.25">
      <c r="A1991" s="198">
        <v>44505</v>
      </c>
      <c r="B1991" s="244">
        <v>4.9753999999999996</v>
      </c>
    </row>
    <row r="1992" spans="1:2" x14ac:dyDescent="0.25">
      <c r="A1992" s="198">
        <v>44508</v>
      </c>
      <c r="B1992" s="244">
        <v>4.9901999999999997</v>
      </c>
    </row>
    <row r="1993" spans="1:2" x14ac:dyDescent="0.25">
      <c r="A1993" s="198">
        <v>44509</v>
      </c>
      <c r="B1993" s="244">
        <v>4.9950000000000001</v>
      </c>
    </row>
    <row r="1994" spans="1:2" x14ac:dyDescent="0.25">
      <c r="A1994" s="198">
        <v>44510</v>
      </c>
      <c r="B1994" s="244">
        <v>4.9974999999999996</v>
      </c>
    </row>
    <row r="1995" spans="1:2" x14ac:dyDescent="0.25">
      <c r="A1995" s="198">
        <v>44511</v>
      </c>
      <c r="B1995" s="244">
        <v>4.9987000000000004</v>
      </c>
    </row>
    <row r="1996" spans="1:2" x14ac:dyDescent="0.25">
      <c r="A1996" s="198">
        <v>44512</v>
      </c>
      <c r="B1996" s="244">
        <v>5.0010000000000003</v>
      </c>
    </row>
    <row r="1997" spans="1:2" x14ac:dyDescent="0.25">
      <c r="A1997" s="198">
        <v>44516</v>
      </c>
      <c r="B1997" s="244">
        <v>5.22</v>
      </c>
    </row>
    <row r="1998" spans="1:2" x14ac:dyDescent="0.25">
      <c r="A1998" s="198">
        <v>44517</v>
      </c>
      <c r="B1998" s="244">
        <v>5.23</v>
      </c>
    </row>
    <row r="1999" spans="1:2" x14ac:dyDescent="0.25">
      <c r="A1999" s="198">
        <v>44518</v>
      </c>
      <c r="B1999" s="244">
        <v>5.2290000000000001</v>
      </c>
    </row>
    <row r="2000" spans="1:2" x14ac:dyDescent="0.25">
      <c r="A2000" s="198">
        <v>44519</v>
      </c>
      <c r="B2000" s="244">
        <v>5.2335000000000003</v>
      </c>
    </row>
    <row r="2001" spans="1:2" x14ac:dyDescent="0.25">
      <c r="A2001" s="198">
        <v>44522</v>
      </c>
      <c r="B2001" s="244">
        <v>5.2362000000000002</v>
      </c>
    </row>
    <row r="2002" spans="1:2" x14ac:dyDescent="0.25">
      <c r="A2002" s="198">
        <v>44523</v>
      </c>
      <c r="B2002" s="244">
        <v>5.2367999999999997</v>
      </c>
    </row>
    <row r="2003" spans="1:2" x14ac:dyDescent="0.25">
      <c r="A2003" s="198">
        <v>44524</v>
      </c>
      <c r="B2003" s="244">
        <v>5.2374999999999998</v>
      </c>
    </row>
    <row r="2004" spans="1:2" x14ac:dyDescent="0.25">
      <c r="A2004" s="198">
        <v>44525</v>
      </c>
      <c r="B2004" s="244">
        <v>5.2350000000000003</v>
      </c>
    </row>
    <row r="2005" spans="1:2" x14ac:dyDescent="0.25">
      <c r="A2005" s="198">
        <v>44526</v>
      </c>
      <c r="B2005" s="244">
        <v>5.2350000000000003</v>
      </c>
    </row>
    <row r="2006" spans="1:2" x14ac:dyDescent="0.25">
      <c r="A2006" s="198">
        <v>44529</v>
      </c>
      <c r="B2006" s="244">
        <v>5.2324999999999999</v>
      </c>
    </row>
    <row r="2007" spans="1:2" x14ac:dyDescent="0.25">
      <c r="A2007" s="198">
        <v>44530</v>
      </c>
      <c r="B2007" s="244">
        <v>5.2275</v>
      </c>
    </row>
    <row r="2008" spans="1:2" x14ac:dyDescent="0.25">
      <c r="A2008" s="198">
        <v>44531</v>
      </c>
      <c r="B2008" s="244">
        <v>5.2275</v>
      </c>
    </row>
    <row r="2009" spans="1:2" x14ac:dyDescent="0.25">
      <c r="A2009" s="198">
        <v>44532</v>
      </c>
      <c r="B2009" s="244">
        <v>5.2309999999999999</v>
      </c>
    </row>
    <row r="2010" spans="1:2" x14ac:dyDescent="0.25">
      <c r="A2010" s="198">
        <v>44533</v>
      </c>
      <c r="B2010" s="244">
        <v>5.2314999999999996</v>
      </c>
    </row>
    <row r="2011" spans="1:2" x14ac:dyDescent="0.25">
      <c r="A2011" s="198">
        <v>44536</v>
      </c>
      <c r="B2011" s="244">
        <v>5.2270000000000003</v>
      </c>
    </row>
    <row r="2012" spans="1:2" x14ac:dyDescent="0.25">
      <c r="A2012" s="198">
        <v>44537</v>
      </c>
      <c r="B2012" s="244">
        <v>5.2324999999999999</v>
      </c>
    </row>
    <row r="2013" spans="1:2" x14ac:dyDescent="0.25">
      <c r="A2013" s="198">
        <v>44538</v>
      </c>
      <c r="B2013" s="244">
        <v>5.2371999999999996</v>
      </c>
    </row>
    <row r="2014" spans="1:2" x14ac:dyDescent="0.25">
      <c r="A2014" s="198">
        <v>44539</v>
      </c>
      <c r="B2014" s="244">
        <v>5.2350000000000003</v>
      </c>
    </row>
    <row r="2015" spans="1:2" x14ac:dyDescent="0.25">
      <c r="A2015" s="198">
        <v>44540</v>
      </c>
      <c r="B2015" s="244">
        <v>5.24</v>
      </c>
    </row>
    <row r="2016" spans="1:2" x14ac:dyDescent="0.25">
      <c r="A2016" s="198">
        <v>44543</v>
      </c>
      <c r="B2016" s="244">
        <v>5.2362000000000002</v>
      </c>
    </row>
    <row r="2017" spans="1:2" x14ac:dyDescent="0.25">
      <c r="A2017" s="198">
        <v>44544</v>
      </c>
      <c r="B2017" s="244">
        <v>5.2377000000000002</v>
      </c>
    </row>
    <row r="2018" spans="1:2" x14ac:dyDescent="0.25">
      <c r="A2018" s="198">
        <v>44545</v>
      </c>
      <c r="B2018" s="244">
        <v>5.2389000000000001</v>
      </c>
    </row>
    <row r="2019" spans="1:2" x14ac:dyDescent="0.25">
      <c r="A2019" s="198">
        <v>44546</v>
      </c>
      <c r="B2019" s="244">
        <v>5.2382</v>
      </c>
    </row>
    <row r="2020" spans="1:2" x14ac:dyDescent="0.25">
      <c r="A2020" s="198">
        <v>44547</v>
      </c>
      <c r="B2020" s="244">
        <v>5.2491000000000003</v>
      </c>
    </row>
    <row r="2021" spans="1:2" x14ac:dyDescent="0.25">
      <c r="A2021" s="198">
        <v>44550</v>
      </c>
      <c r="B2021" s="244">
        <v>5.7</v>
      </c>
    </row>
    <row r="2022" spans="1:2" x14ac:dyDescent="0.25">
      <c r="A2022" s="198">
        <v>44551</v>
      </c>
      <c r="B2022" s="244">
        <v>5.71</v>
      </c>
    </row>
    <row r="2023" spans="1:2" x14ac:dyDescent="0.25">
      <c r="A2023" s="198">
        <v>44552</v>
      </c>
      <c r="B2023" s="244">
        <v>5.71</v>
      </c>
    </row>
    <row r="2024" spans="1:2" x14ac:dyDescent="0.25">
      <c r="A2024" s="198">
        <v>44553</v>
      </c>
      <c r="B2024" s="244">
        <v>5.7119999999999997</v>
      </c>
    </row>
    <row r="2025" spans="1:2" x14ac:dyDescent="0.25">
      <c r="A2025" s="198">
        <v>44554</v>
      </c>
      <c r="B2025" s="244">
        <v>5.7122000000000002</v>
      </c>
    </row>
    <row r="2026" spans="1:2" x14ac:dyDescent="0.25">
      <c r="A2026" s="198">
        <v>44557</v>
      </c>
      <c r="B2026" s="244">
        <v>5.7134999999999998</v>
      </c>
    </row>
    <row r="2027" spans="1:2" x14ac:dyDescent="0.25">
      <c r="A2027" s="198">
        <v>44558</v>
      </c>
      <c r="B2027" s="244">
        <v>5.7140000000000004</v>
      </c>
    </row>
    <row r="2028" spans="1:2" x14ac:dyDescent="0.25">
      <c r="A2028" s="198">
        <v>44559</v>
      </c>
      <c r="B2028" s="244">
        <v>5.7157</v>
      </c>
    </row>
    <row r="2029" spans="1:2" x14ac:dyDescent="0.25">
      <c r="A2029" s="198">
        <v>44560</v>
      </c>
      <c r="B2029" s="244">
        <v>5.7149999999999999</v>
      </c>
    </row>
    <row r="2030" spans="1:2" x14ac:dyDescent="0.25">
      <c r="A2030" s="198">
        <v>44561</v>
      </c>
      <c r="B2030" s="244">
        <v>5.7149999999999999</v>
      </c>
    </row>
    <row r="2031" spans="1:2" x14ac:dyDescent="0.25">
      <c r="A2031" s="198">
        <v>44564</v>
      </c>
      <c r="B2031" s="244">
        <v>5.7149999999999999</v>
      </c>
    </row>
    <row r="2032" spans="1:2" x14ac:dyDescent="0.25">
      <c r="A2032" s="198">
        <v>44565</v>
      </c>
      <c r="B2032" s="244">
        <v>5.7175000000000002</v>
      </c>
    </row>
    <row r="2033" spans="1:2" x14ac:dyDescent="0.25">
      <c r="A2033" s="198">
        <v>44566</v>
      </c>
      <c r="B2033" s="244">
        <v>5.7164999999999999</v>
      </c>
    </row>
    <row r="2034" spans="1:2" x14ac:dyDescent="0.25">
      <c r="A2034" s="198">
        <v>44567</v>
      </c>
      <c r="B2034" s="244">
        <v>5.718</v>
      </c>
    </row>
    <row r="2035" spans="1:2" x14ac:dyDescent="0.25">
      <c r="A2035" s="198">
        <v>44568</v>
      </c>
      <c r="B2035" s="244">
        <v>5.7184999999999997</v>
      </c>
    </row>
    <row r="2036" spans="1:2" x14ac:dyDescent="0.25">
      <c r="A2036" s="198">
        <v>44571</v>
      </c>
      <c r="B2036" s="244">
        <v>5.7190000000000003</v>
      </c>
    </row>
    <row r="2037" spans="1:2" x14ac:dyDescent="0.25">
      <c r="A2037" s="198">
        <v>44572</v>
      </c>
      <c r="B2037" s="244">
        <v>5.7190000000000003</v>
      </c>
    </row>
    <row r="2038" spans="1:2" x14ac:dyDescent="0.25">
      <c r="A2038" s="198">
        <v>44573</v>
      </c>
      <c r="B2038" s="244">
        <v>5.7210000000000001</v>
      </c>
    </row>
    <row r="2039" spans="1:2" x14ac:dyDescent="0.25">
      <c r="A2039" s="198">
        <v>44574</v>
      </c>
      <c r="B2039" s="244">
        <v>5.7225000000000001</v>
      </c>
    </row>
    <row r="2040" spans="1:2" x14ac:dyDescent="0.25">
      <c r="A2040" s="198">
        <v>44575</v>
      </c>
      <c r="B2040" s="244">
        <v>5.7225000000000001</v>
      </c>
    </row>
    <row r="2041" spans="1:2" x14ac:dyDescent="0.25">
      <c r="A2041" s="198">
        <v>44578</v>
      </c>
      <c r="B2041" s="244">
        <v>5.7214999999999998</v>
      </c>
    </row>
    <row r="2042" spans="1:2" x14ac:dyDescent="0.25">
      <c r="A2042" s="198">
        <v>44579</v>
      </c>
      <c r="B2042" s="244">
        <v>5.7220000000000004</v>
      </c>
    </row>
    <row r="2043" spans="1:2" x14ac:dyDescent="0.25">
      <c r="A2043" s="198">
        <v>44580</v>
      </c>
      <c r="B2043" s="244">
        <v>5.7225000000000001</v>
      </c>
    </row>
    <row r="2044" spans="1:2" x14ac:dyDescent="0.25">
      <c r="A2044" s="198">
        <v>44581</v>
      </c>
      <c r="B2044" s="244">
        <v>5.7262000000000004</v>
      </c>
    </row>
    <row r="2045" spans="1:2" x14ac:dyDescent="0.25">
      <c r="A2045" s="198">
        <v>44582</v>
      </c>
      <c r="B2045" s="244">
        <v>5.7279999999999998</v>
      </c>
    </row>
    <row r="2046" spans="1:2" x14ac:dyDescent="0.25">
      <c r="A2046" s="198">
        <v>44585</v>
      </c>
      <c r="B2046" s="244">
        <v>5.7276999999999996</v>
      </c>
    </row>
    <row r="2047" spans="1:2" x14ac:dyDescent="0.25">
      <c r="A2047" s="198">
        <v>44586</v>
      </c>
      <c r="B2047" s="244">
        <v>5.7298</v>
      </c>
    </row>
    <row r="2048" spans="1:2" x14ac:dyDescent="0.25">
      <c r="A2048" s="198">
        <v>44587</v>
      </c>
      <c r="B2048" s="244">
        <v>5.7319000000000004</v>
      </c>
    </row>
    <row r="2049" spans="1:2" x14ac:dyDescent="0.25">
      <c r="A2049" s="198">
        <v>44588</v>
      </c>
      <c r="B2049" s="244">
        <v>5.7329999999999997</v>
      </c>
    </row>
    <row r="2050" spans="1:2" x14ac:dyDescent="0.25">
      <c r="A2050" s="198">
        <v>44589</v>
      </c>
      <c r="B2050" s="244">
        <v>5.7329999999999997</v>
      </c>
    </row>
    <row r="2051" spans="1:2" x14ac:dyDescent="0.25">
      <c r="A2051" s="198">
        <v>44592</v>
      </c>
      <c r="B2051" s="244">
        <v>5.734</v>
      </c>
    </row>
    <row r="2052" spans="1:2" x14ac:dyDescent="0.25">
      <c r="A2052" s="198">
        <v>44593</v>
      </c>
      <c r="B2052" s="244">
        <v>5.7365000000000004</v>
      </c>
    </row>
    <row r="2053" spans="1:2" x14ac:dyDescent="0.25">
      <c r="A2053" s="198">
        <v>44594</v>
      </c>
      <c r="B2053" s="244">
        <v>5.7380000000000004</v>
      </c>
    </row>
    <row r="2054" spans="1:2" x14ac:dyDescent="0.25">
      <c r="A2054" s="198">
        <v>44595</v>
      </c>
      <c r="B2054" s="244">
        <v>5.7389999999999999</v>
      </c>
    </row>
    <row r="2055" spans="1:2" x14ac:dyDescent="0.25">
      <c r="A2055" s="198">
        <v>44596</v>
      </c>
      <c r="B2055" s="244">
        <v>5.7415000000000003</v>
      </c>
    </row>
    <row r="2056" spans="1:2" x14ac:dyDescent="0.25">
      <c r="A2056" s="198">
        <v>44600</v>
      </c>
      <c r="B2056" s="244">
        <v>5.742</v>
      </c>
    </row>
    <row r="2057" spans="1:2" x14ac:dyDescent="0.25">
      <c r="A2057" s="198">
        <v>44601</v>
      </c>
      <c r="B2057" s="244">
        <v>5.7450000000000001</v>
      </c>
    </row>
    <row r="2058" spans="1:2" x14ac:dyDescent="0.25">
      <c r="A2058" s="198">
        <v>44602</v>
      </c>
      <c r="B2058" s="244">
        <v>5.7450000000000001</v>
      </c>
    </row>
    <row r="2059" spans="1:2" x14ac:dyDescent="0.25">
      <c r="A2059" s="198">
        <v>44603</v>
      </c>
      <c r="B2059" s="244">
        <v>5.7537000000000003</v>
      </c>
    </row>
    <row r="2060" spans="1:2" x14ac:dyDescent="0.25">
      <c r="A2060" s="198">
        <v>44606</v>
      </c>
      <c r="B2060" s="244">
        <v>6.2012</v>
      </c>
    </row>
    <row r="2061" spans="1:2" x14ac:dyDescent="0.25">
      <c r="A2061" s="198">
        <v>44607</v>
      </c>
      <c r="B2061" s="244">
        <v>6.2256</v>
      </c>
    </row>
    <row r="2062" spans="1:2" x14ac:dyDescent="0.25">
      <c r="A2062" s="198">
        <v>44608</v>
      </c>
      <c r="B2062" s="244">
        <v>6.2324999999999999</v>
      </c>
    </row>
    <row r="2063" spans="1:2" x14ac:dyDescent="0.25">
      <c r="A2063" s="198">
        <v>44609</v>
      </c>
      <c r="B2063" s="244">
        <v>6.2374999999999998</v>
      </c>
    </row>
    <row r="2064" spans="1:2" x14ac:dyDescent="0.25">
      <c r="A2064" s="198">
        <v>44610</v>
      </c>
      <c r="B2064" s="244">
        <v>6.2324999999999999</v>
      </c>
    </row>
    <row r="2065" spans="1:2" x14ac:dyDescent="0.25">
      <c r="A2065" s="198">
        <v>44613</v>
      </c>
      <c r="B2065" s="244">
        <v>6.2275</v>
      </c>
    </row>
    <row r="2066" spans="1:2" x14ac:dyDescent="0.25">
      <c r="A2066" s="198">
        <v>44614</v>
      </c>
      <c r="B2066" s="244">
        <v>6.2249999999999996</v>
      </c>
    </row>
    <row r="2067" spans="1:2" x14ac:dyDescent="0.25">
      <c r="A2067" s="198">
        <v>44615</v>
      </c>
      <c r="B2067" s="244">
        <v>6.2249999999999996</v>
      </c>
    </row>
    <row r="2068" spans="1:2" x14ac:dyDescent="0.25">
      <c r="A2068" s="198">
        <v>44616</v>
      </c>
      <c r="B2068" s="244">
        <v>6.2210000000000001</v>
      </c>
    </row>
    <row r="2069" spans="1:2" x14ac:dyDescent="0.25">
      <c r="A2069" s="198">
        <v>44617</v>
      </c>
      <c r="B2069" s="244">
        <v>6.2279999999999998</v>
      </c>
    </row>
    <row r="2070" spans="1:2" x14ac:dyDescent="0.25">
      <c r="A2070" s="198">
        <v>44620</v>
      </c>
      <c r="B2070" s="244">
        <v>6.234</v>
      </c>
    </row>
    <row r="2071" spans="1:2" x14ac:dyDescent="0.25">
      <c r="A2071" s="198">
        <v>44621</v>
      </c>
      <c r="B2071" s="244">
        <v>6.2366999999999999</v>
      </c>
    </row>
    <row r="2072" spans="1:2" x14ac:dyDescent="0.25">
      <c r="A2072" s="198">
        <v>44622</v>
      </c>
      <c r="B2072" s="244">
        <v>6.2394999999999996</v>
      </c>
    </row>
    <row r="2073" spans="1:2" x14ac:dyDescent="0.25">
      <c r="A2073" s="198">
        <v>44623</v>
      </c>
      <c r="B2073" s="244">
        <v>6.2409999999999997</v>
      </c>
    </row>
    <row r="2074" spans="1:2" x14ac:dyDescent="0.25">
      <c r="A2074" s="198">
        <v>44624</v>
      </c>
      <c r="B2074" s="244">
        <v>6.2362000000000002</v>
      </c>
    </row>
    <row r="2075" spans="1:2" x14ac:dyDescent="0.25">
      <c r="A2075" s="198">
        <v>44627</v>
      </c>
      <c r="B2075" s="244">
        <v>6.2314999999999996</v>
      </c>
    </row>
    <row r="2076" spans="1:2" x14ac:dyDescent="0.25">
      <c r="A2076" s="198">
        <v>44628</v>
      </c>
      <c r="B2076" s="244">
        <v>6.23</v>
      </c>
    </row>
    <row r="2077" spans="1:2" x14ac:dyDescent="0.25">
      <c r="A2077" s="198">
        <v>44629</v>
      </c>
      <c r="B2077" s="244">
        <v>6.23</v>
      </c>
    </row>
    <row r="2078" spans="1:2" x14ac:dyDescent="0.25">
      <c r="A2078" s="198">
        <v>44630</v>
      </c>
      <c r="B2078" s="244">
        <v>6.2350000000000003</v>
      </c>
    </row>
    <row r="2079" spans="1:2" x14ac:dyDescent="0.25">
      <c r="A2079" s="198">
        <v>44631</v>
      </c>
      <c r="B2079" s="244">
        <v>6.2374999999999998</v>
      </c>
    </row>
    <row r="2080" spans="1:2" x14ac:dyDescent="0.25">
      <c r="A2080" s="198">
        <v>44634</v>
      </c>
      <c r="B2080" s="244">
        <v>6.2374999999999998</v>
      </c>
    </row>
    <row r="2081" spans="1:2" x14ac:dyDescent="0.25">
      <c r="A2081" s="198">
        <v>44635</v>
      </c>
      <c r="B2081" s="244">
        <v>6.2424999999999997</v>
      </c>
    </row>
    <row r="2082" spans="1:2" x14ac:dyDescent="0.25">
      <c r="A2082" s="198">
        <v>44636</v>
      </c>
      <c r="B2082" s="244">
        <v>6.2487000000000004</v>
      </c>
    </row>
    <row r="2083" spans="1:2" x14ac:dyDescent="0.25">
      <c r="A2083" s="198">
        <v>44637</v>
      </c>
      <c r="B2083" s="244">
        <v>6.2523</v>
      </c>
    </row>
    <row r="2084" spans="1:2" x14ac:dyDescent="0.25">
      <c r="A2084" s="198">
        <v>44638</v>
      </c>
      <c r="B2084" s="244">
        <v>6.26</v>
      </c>
    </row>
    <row r="2085" spans="1:2" x14ac:dyDescent="0.25">
      <c r="A2085" s="198">
        <v>44642</v>
      </c>
      <c r="B2085" s="244">
        <v>6.2625000000000002</v>
      </c>
    </row>
    <row r="2086" spans="1:2" x14ac:dyDescent="0.25">
      <c r="A2086" s="198">
        <v>44643</v>
      </c>
      <c r="B2086" s="244">
        <v>6.2750000000000004</v>
      </c>
    </row>
    <row r="2087" spans="1:2" x14ac:dyDescent="0.25">
      <c r="A2087" s="198">
        <v>44644</v>
      </c>
      <c r="B2087" s="244">
        <v>6.2824999999999998</v>
      </c>
    </row>
    <row r="2088" spans="1:2" x14ac:dyDescent="0.25">
      <c r="A2088" s="198">
        <v>44645</v>
      </c>
      <c r="B2088" s="244">
        <v>6.2911999999999999</v>
      </c>
    </row>
    <row r="2089" spans="1:2" x14ac:dyDescent="0.25">
      <c r="A2089" s="198">
        <v>44648</v>
      </c>
      <c r="B2089" s="244">
        <v>6.7175000000000002</v>
      </c>
    </row>
    <row r="2090" spans="1:2" x14ac:dyDescent="0.25">
      <c r="A2090" s="198">
        <v>44649</v>
      </c>
      <c r="B2090" s="244">
        <v>6.7237</v>
      </c>
    </row>
    <row r="2091" spans="1:2" x14ac:dyDescent="0.25">
      <c r="A2091" s="198">
        <v>44650</v>
      </c>
      <c r="B2091" s="244">
        <v>6.7264999999999997</v>
      </c>
    </row>
    <row r="2092" spans="1:2" x14ac:dyDescent="0.25">
      <c r="A2092" s="198">
        <v>44651</v>
      </c>
      <c r="B2092" s="244">
        <v>6.7264999999999997</v>
      </c>
    </row>
    <row r="2093" spans="1:2" x14ac:dyDescent="0.25">
      <c r="A2093" s="198">
        <v>44652</v>
      </c>
      <c r="B2093" s="244">
        <v>6.7225000000000001</v>
      </c>
    </row>
    <row r="2094" spans="1:2" x14ac:dyDescent="0.25">
      <c r="A2094" s="198">
        <v>44655</v>
      </c>
      <c r="B2094" s="244">
        <v>6.7210000000000001</v>
      </c>
    </row>
    <row r="2095" spans="1:2" x14ac:dyDescent="0.25">
      <c r="A2095" s="198">
        <v>44656</v>
      </c>
      <c r="B2095" s="244">
        <v>6.7225000000000001</v>
      </c>
    </row>
    <row r="2096" spans="1:2" x14ac:dyDescent="0.25">
      <c r="A2096" s="198">
        <v>44657</v>
      </c>
      <c r="B2096" s="244">
        <v>6.7210000000000001</v>
      </c>
    </row>
    <row r="2097" spans="1:2" x14ac:dyDescent="0.25">
      <c r="A2097" s="198">
        <v>44658</v>
      </c>
      <c r="B2097" s="244">
        <v>6.7255000000000003</v>
      </c>
    </row>
    <row r="2098" spans="1:2" x14ac:dyDescent="0.25">
      <c r="A2098" s="198">
        <v>44659</v>
      </c>
      <c r="B2098" s="244">
        <v>6.7276999999999996</v>
      </c>
    </row>
    <row r="2099" spans="1:2" x14ac:dyDescent="0.25">
      <c r="A2099" s="198">
        <v>44662</v>
      </c>
      <c r="B2099" s="244">
        <v>6.7285000000000004</v>
      </c>
    </row>
    <row r="2100" spans="1:2" x14ac:dyDescent="0.25">
      <c r="A2100" s="198">
        <v>44663</v>
      </c>
      <c r="B2100" s="244">
        <v>6.726</v>
      </c>
    </row>
    <row r="2101" spans="1:2" x14ac:dyDescent="0.25">
      <c r="A2101" s="198">
        <v>44664</v>
      </c>
      <c r="B2101" s="244">
        <v>6.73</v>
      </c>
    </row>
    <row r="2102" spans="1:2" x14ac:dyDescent="0.25">
      <c r="A2102" s="198">
        <v>44669</v>
      </c>
      <c r="B2102" s="244">
        <v>6.7344999999999997</v>
      </c>
    </row>
    <row r="2103" spans="1:2" x14ac:dyDescent="0.25">
      <c r="A2103" s="198">
        <v>44670</v>
      </c>
      <c r="B2103" s="244">
        <v>6.7370000000000001</v>
      </c>
    </row>
    <row r="2104" spans="1:2" x14ac:dyDescent="0.25">
      <c r="A2104" s="198">
        <v>44671</v>
      </c>
      <c r="B2104" s="244">
        <v>6.7304000000000004</v>
      </c>
    </row>
    <row r="2105" spans="1:2" x14ac:dyDescent="0.25">
      <c r="A2105" s="198">
        <v>44672</v>
      </c>
      <c r="B2105" s="244">
        <v>6.73</v>
      </c>
    </row>
    <row r="2106" spans="1:2" x14ac:dyDescent="0.25">
      <c r="A2106" s="198">
        <v>44673</v>
      </c>
      <c r="B2106" s="244">
        <v>6.7350000000000003</v>
      </c>
    </row>
    <row r="2107" spans="1:2" x14ac:dyDescent="0.25">
      <c r="A2107" s="198">
        <v>44676</v>
      </c>
      <c r="B2107" s="244">
        <v>6.7324999999999999</v>
      </c>
    </row>
    <row r="2108" spans="1:2" x14ac:dyDescent="0.25">
      <c r="A2108" s="198">
        <v>44677</v>
      </c>
      <c r="B2108" s="244">
        <v>6.74</v>
      </c>
    </row>
    <row r="2109" spans="1:2" x14ac:dyDescent="0.25">
      <c r="A2109" s="198">
        <v>44678</v>
      </c>
      <c r="B2109" s="244">
        <v>6.7450000000000001</v>
      </c>
    </row>
    <row r="2110" spans="1:2" x14ac:dyDescent="0.25">
      <c r="A2110" s="198">
        <v>44679</v>
      </c>
      <c r="B2110" s="244">
        <v>6.7450000000000001</v>
      </c>
    </row>
    <row r="2111" spans="1:2" x14ac:dyDescent="0.25">
      <c r="A2111" s="198">
        <v>44680</v>
      </c>
      <c r="B2111" s="244">
        <v>6.7506000000000004</v>
      </c>
    </row>
    <row r="2112" spans="1:2" x14ac:dyDescent="0.25">
      <c r="A2112" s="198">
        <v>44683</v>
      </c>
      <c r="B2112" s="244">
        <v>6.7525000000000004</v>
      </c>
    </row>
    <row r="2113" spans="1:2" x14ac:dyDescent="0.25">
      <c r="A2113" s="198">
        <v>44684</v>
      </c>
      <c r="B2113" s="244">
        <v>6.7569999999999997</v>
      </c>
    </row>
    <row r="2114" spans="1:2" x14ac:dyDescent="0.25">
      <c r="A2114" s="198">
        <v>44685</v>
      </c>
      <c r="B2114" s="244">
        <v>6.7556000000000003</v>
      </c>
    </row>
    <row r="2115" spans="1:2" x14ac:dyDescent="0.25">
      <c r="A2115" s="198">
        <v>44686</v>
      </c>
      <c r="B2115" s="244">
        <v>6.7603</v>
      </c>
    </row>
    <row r="2116" spans="1:2" x14ac:dyDescent="0.25">
      <c r="A2116" s="198">
        <v>44687</v>
      </c>
      <c r="B2116" s="244">
        <v>6.7649999999999997</v>
      </c>
    </row>
    <row r="2117" spans="1:2" x14ac:dyDescent="0.25">
      <c r="A2117" s="198">
        <v>44690</v>
      </c>
      <c r="B2117" s="244">
        <v>6.7649999999999997</v>
      </c>
    </row>
    <row r="2118" spans="1:2" x14ac:dyDescent="0.25">
      <c r="A2118" s="198">
        <v>44691</v>
      </c>
      <c r="B2118" s="244">
        <v>6.7725</v>
      </c>
    </row>
    <row r="2119" spans="1:2" x14ac:dyDescent="0.25">
      <c r="A2119" s="198">
        <v>44692</v>
      </c>
      <c r="B2119" s="244">
        <v>6.7949999999999999</v>
      </c>
    </row>
    <row r="2120" spans="1:2" x14ac:dyDescent="0.25">
      <c r="A2120" s="198">
        <v>44693</v>
      </c>
      <c r="B2120" s="244">
        <v>6.8075000000000001</v>
      </c>
    </row>
    <row r="2121" spans="1:2" x14ac:dyDescent="0.25">
      <c r="A2121" s="198">
        <v>44694</v>
      </c>
      <c r="B2121" s="244">
        <v>6.8198999999999996</v>
      </c>
    </row>
    <row r="2122" spans="1:2" x14ac:dyDescent="0.25">
      <c r="A2122" s="198">
        <v>44697</v>
      </c>
      <c r="B2122" s="244">
        <v>7.2350000000000003</v>
      </c>
    </row>
    <row r="2123" spans="1:2" x14ac:dyDescent="0.25">
      <c r="A2123" s="198">
        <v>44698</v>
      </c>
      <c r="B2123" s="244">
        <v>7.218</v>
      </c>
    </row>
    <row r="2124" spans="1:2" x14ac:dyDescent="0.25">
      <c r="A2124" s="198">
        <v>44699</v>
      </c>
      <c r="B2124" s="244">
        <v>7.2087000000000003</v>
      </c>
    </row>
    <row r="2125" spans="1:2" x14ac:dyDescent="0.25">
      <c r="A2125" s="198">
        <v>44700</v>
      </c>
      <c r="B2125" s="244">
        <v>7.2050000000000001</v>
      </c>
    </row>
    <row r="2126" spans="1:2" x14ac:dyDescent="0.25">
      <c r="A2126" s="198">
        <v>44701</v>
      </c>
      <c r="B2126" s="244">
        <v>7.2030000000000003</v>
      </c>
    </row>
    <row r="2127" spans="1:2" x14ac:dyDescent="0.25">
      <c r="A2127" s="198">
        <v>44704</v>
      </c>
      <c r="B2127" s="244">
        <v>7.202</v>
      </c>
    </row>
    <row r="2128" spans="1:2" x14ac:dyDescent="0.25">
      <c r="A2128" s="198">
        <v>44705</v>
      </c>
      <c r="B2128" s="244">
        <v>7.2074999999999996</v>
      </c>
    </row>
    <row r="2129" spans="1:2" x14ac:dyDescent="0.25">
      <c r="A2129" s="198">
        <v>44706</v>
      </c>
      <c r="B2129" s="244">
        <v>7.2187000000000001</v>
      </c>
    </row>
    <row r="2130" spans="1:2" x14ac:dyDescent="0.25">
      <c r="A2130" s="198">
        <v>44707</v>
      </c>
      <c r="B2130" s="244">
        <v>7.2107000000000001</v>
      </c>
    </row>
    <row r="2131" spans="1:2" x14ac:dyDescent="0.25">
      <c r="A2131" s="198">
        <v>44708</v>
      </c>
      <c r="B2131" s="244">
        <v>7.2069999999999999</v>
      </c>
    </row>
    <row r="2132" spans="1:2" x14ac:dyDescent="0.25">
      <c r="A2132" s="198">
        <v>44711</v>
      </c>
      <c r="B2132" s="244">
        <v>7.2149999999999999</v>
      </c>
    </row>
    <row r="2133" spans="1:2" x14ac:dyDescent="0.25">
      <c r="A2133" s="198">
        <v>44712</v>
      </c>
      <c r="B2133" s="244">
        <v>7.2225000000000001</v>
      </c>
    </row>
    <row r="2134" spans="1:2" x14ac:dyDescent="0.25">
      <c r="A2134" s="198">
        <v>44713</v>
      </c>
      <c r="B2134" s="244">
        <v>7.2249999999999996</v>
      </c>
    </row>
    <row r="2135" spans="1:2" x14ac:dyDescent="0.25">
      <c r="A2135" s="198">
        <v>44714</v>
      </c>
      <c r="B2135" s="244">
        <v>7.23</v>
      </c>
    </row>
    <row r="2136" spans="1:2" x14ac:dyDescent="0.25">
      <c r="A2136" s="198">
        <v>44715</v>
      </c>
      <c r="B2136" s="244">
        <v>7.2355</v>
      </c>
    </row>
    <row r="2137" spans="1:2" x14ac:dyDescent="0.25">
      <c r="A2137" s="198">
        <v>44718</v>
      </c>
      <c r="B2137" s="244">
        <v>7.2335000000000003</v>
      </c>
    </row>
    <row r="2138" spans="1:2" x14ac:dyDescent="0.25">
      <c r="A2138" s="198">
        <v>44719</v>
      </c>
      <c r="B2138" s="244">
        <v>7.242</v>
      </c>
    </row>
    <row r="2139" spans="1:2" x14ac:dyDescent="0.25">
      <c r="A2139" s="198">
        <v>44720</v>
      </c>
      <c r="B2139" s="244">
        <v>7.2465000000000002</v>
      </c>
    </row>
    <row r="2140" spans="1:2" x14ac:dyDescent="0.25">
      <c r="A2140" s="198">
        <v>44721</v>
      </c>
      <c r="B2140" s="244">
        <v>7.2626999999999997</v>
      </c>
    </row>
    <row r="2141" spans="1:2" x14ac:dyDescent="0.25">
      <c r="A2141" s="198">
        <v>44722</v>
      </c>
      <c r="B2141" s="244">
        <v>7.2670000000000003</v>
      </c>
    </row>
    <row r="2142" spans="1:2" x14ac:dyDescent="0.25">
      <c r="A2142" s="198">
        <v>44725</v>
      </c>
      <c r="B2142" s="244">
        <v>7.2714999999999996</v>
      </c>
    </row>
    <row r="2143" spans="1:2" x14ac:dyDescent="0.25">
      <c r="A2143" s="198">
        <v>44726</v>
      </c>
      <c r="B2143" s="244">
        <v>7.28</v>
      </c>
    </row>
    <row r="2144" spans="1:2" x14ac:dyDescent="0.25">
      <c r="A2144" s="198">
        <v>44727</v>
      </c>
      <c r="B2144" s="244">
        <v>7.2854999999999999</v>
      </c>
    </row>
    <row r="2145" spans="1:2" x14ac:dyDescent="0.25">
      <c r="A2145" s="198">
        <v>44728</v>
      </c>
      <c r="B2145" s="244">
        <v>7.3025000000000002</v>
      </c>
    </row>
    <row r="2146" spans="1:2" x14ac:dyDescent="0.25">
      <c r="A2146" s="198">
        <v>44729</v>
      </c>
      <c r="B2146" s="244">
        <v>7.3224999999999998</v>
      </c>
    </row>
    <row r="2147" spans="1:2" x14ac:dyDescent="0.25">
      <c r="A2147" s="198">
        <v>44732</v>
      </c>
      <c r="B2147" s="244">
        <v>7.33</v>
      </c>
    </row>
    <row r="2148" spans="1:2" x14ac:dyDescent="0.25">
      <c r="A2148" s="198">
        <v>44733</v>
      </c>
      <c r="B2148" s="244">
        <v>7.3375000000000004</v>
      </c>
    </row>
    <row r="2149" spans="1:2" x14ac:dyDescent="0.25">
      <c r="A2149" s="198">
        <v>44734</v>
      </c>
      <c r="B2149" s="244">
        <v>7.3550000000000004</v>
      </c>
    </row>
    <row r="2150" spans="1:2" x14ac:dyDescent="0.25">
      <c r="A2150" s="198">
        <v>44735</v>
      </c>
      <c r="B2150" s="244">
        <v>7.3775000000000004</v>
      </c>
    </row>
    <row r="2151" spans="1:2" x14ac:dyDescent="0.25">
      <c r="A2151" s="198">
        <v>44736</v>
      </c>
      <c r="B2151" s="244">
        <v>7.3913000000000002</v>
      </c>
    </row>
    <row r="2152" spans="1:2" x14ac:dyDescent="0.25">
      <c r="A2152" s="198">
        <v>44739</v>
      </c>
      <c r="B2152" s="244">
        <v>8.0124999999999993</v>
      </c>
    </row>
    <row r="2153" spans="1:2" x14ac:dyDescent="0.25">
      <c r="A2153" s="198">
        <v>44740</v>
      </c>
      <c r="B2153" s="244">
        <v>8.0180000000000007</v>
      </c>
    </row>
    <row r="2154" spans="1:2" x14ac:dyDescent="0.25">
      <c r="A2154" s="198">
        <v>44741</v>
      </c>
      <c r="B2154" s="244">
        <v>8.0254999999999992</v>
      </c>
    </row>
    <row r="2155" spans="1:2" x14ac:dyDescent="0.25">
      <c r="A2155" s="198">
        <v>44742</v>
      </c>
      <c r="B2155" s="244">
        <v>8.0244999999999997</v>
      </c>
    </row>
    <row r="2156" spans="1:2" x14ac:dyDescent="0.25">
      <c r="A2156" s="198">
        <v>44743</v>
      </c>
      <c r="B2156" s="244">
        <v>8.0303000000000004</v>
      </c>
    </row>
    <row r="2157" spans="1:2" x14ac:dyDescent="0.25">
      <c r="A2157" s="198">
        <v>44746</v>
      </c>
      <c r="B2157" s="244">
        <v>8.032</v>
      </c>
    </row>
    <row r="2158" spans="1:2" x14ac:dyDescent="0.25">
      <c r="A2158" s="198">
        <v>44747</v>
      </c>
      <c r="B2158" s="244">
        <v>8.0250000000000004</v>
      </c>
    </row>
    <row r="2159" spans="1:2" x14ac:dyDescent="0.25">
      <c r="A2159" s="198">
        <v>44748</v>
      </c>
      <c r="B2159" s="244">
        <v>8.0303000000000004</v>
      </c>
    </row>
    <row r="2160" spans="1:2" x14ac:dyDescent="0.25">
      <c r="A2160" s="198">
        <v>44749</v>
      </c>
      <c r="B2160" s="244">
        <v>8.032</v>
      </c>
    </row>
    <row r="2161" spans="1:2" x14ac:dyDescent="0.25">
      <c r="A2161" s="198">
        <v>44750</v>
      </c>
      <c r="B2161" s="244">
        <v>8.0299999999999994</v>
      </c>
    </row>
    <row r="2162" spans="1:2" x14ac:dyDescent="0.25">
      <c r="A2162" s="198">
        <v>44753</v>
      </c>
      <c r="B2162" s="244">
        <v>8.0314999999999994</v>
      </c>
    </row>
    <row r="2163" spans="1:2" x14ac:dyDescent="0.25">
      <c r="A2163" s="198">
        <v>44754</v>
      </c>
      <c r="B2163" s="244">
        <v>8.0374999999999996</v>
      </c>
    </row>
    <row r="2164" spans="1:2" x14ac:dyDescent="0.25">
      <c r="A2164" s="198">
        <v>44755</v>
      </c>
      <c r="B2164" s="244">
        <v>8.0299999999999994</v>
      </c>
    </row>
    <row r="2165" spans="1:2" x14ac:dyDescent="0.25">
      <c r="A2165" s="198">
        <v>44756</v>
      </c>
      <c r="B2165" s="244">
        <v>8.0365000000000002</v>
      </c>
    </row>
    <row r="2166" spans="1:2" x14ac:dyDescent="0.25">
      <c r="A2166" s="198">
        <v>44757</v>
      </c>
      <c r="B2166" s="244">
        <v>8.0350000000000001</v>
      </c>
    </row>
    <row r="2167" spans="1:2" x14ac:dyDescent="0.25">
      <c r="A2167" s="198">
        <v>44760</v>
      </c>
      <c r="B2167" s="244">
        <v>8.0244999999999997</v>
      </c>
    </row>
    <row r="2168" spans="1:2" x14ac:dyDescent="0.25">
      <c r="A2168" s="198">
        <v>44761</v>
      </c>
      <c r="B2168" s="244">
        <v>8.02</v>
      </c>
    </row>
    <row r="2169" spans="1:2" x14ac:dyDescent="0.25">
      <c r="A2169" s="198">
        <v>44762</v>
      </c>
      <c r="B2169" s="244">
        <v>8.0299999999999994</v>
      </c>
    </row>
    <row r="2170" spans="1:2" x14ac:dyDescent="0.25">
      <c r="A2170" s="198">
        <v>44763</v>
      </c>
      <c r="B2170" s="244">
        <v>8.0399999999999991</v>
      </c>
    </row>
    <row r="2171" spans="1:2" x14ac:dyDescent="0.25">
      <c r="A2171" s="198">
        <v>44764</v>
      </c>
      <c r="B2171" s="244">
        <v>8.0449999999999999</v>
      </c>
    </row>
    <row r="2172" spans="1:2" x14ac:dyDescent="0.25">
      <c r="A2172" s="198">
        <v>44767</v>
      </c>
      <c r="B2172" s="244">
        <v>8.0444999999999993</v>
      </c>
    </row>
    <row r="2173" spans="1:2" x14ac:dyDescent="0.25">
      <c r="A2173" s="198">
        <v>44768</v>
      </c>
      <c r="B2173" s="244">
        <v>8.0440000000000005</v>
      </c>
    </row>
    <row r="2174" spans="1:2" x14ac:dyDescent="0.25">
      <c r="A2174" s="198">
        <v>44769</v>
      </c>
      <c r="B2174" s="244">
        <v>8.0500000000000007</v>
      </c>
    </row>
    <row r="2175" spans="1:2" x14ac:dyDescent="0.25">
      <c r="A2175" s="198">
        <v>44770</v>
      </c>
      <c r="B2175" s="244">
        <v>8.06</v>
      </c>
    </row>
    <row r="2176" spans="1:2" x14ac:dyDescent="0.25">
      <c r="A2176" s="198">
        <v>44771</v>
      </c>
      <c r="B2176" s="244">
        <v>8.0749999999999993</v>
      </c>
    </row>
    <row r="2177" spans="1:2" x14ac:dyDescent="0.25">
      <c r="A2177" s="198">
        <v>44774</v>
      </c>
      <c r="B2177" s="244">
        <v>8.08</v>
      </c>
    </row>
    <row r="2178" spans="1:2" x14ac:dyDescent="0.25">
      <c r="A2178" s="198">
        <v>44775</v>
      </c>
      <c r="B2178" s="244">
        <v>8.0912000000000006</v>
      </c>
    </row>
    <row r="2179" spans="1:2" x14ac:dyDescent="0.25">
      <c r="A2179" s="198">
        <v>44776</v>
      </c>
      <c r="B2179" s="244">
        <v>8.1050000000000004</v>
      </c>
    </row>
    <row r="2180" spans="1:2" x14ac:dyDescent="0.25">
      <c r="A2180" s="198">
        <v>44777</v>
      </c>
      <c r="B2180" s="244">
        <v>8.1074000000000002</v>
      </c>
    </row>
    <row r="2181" spans="1:2" x14ac:dyDescent="0.25">
      <c r="A2181" s="198">
        <v>44778</v>
      </c>
      <c r="B2181" s="244">
        <v>8.1187000000000005</v>
      </c>
    </row>
    <row r="2182" spans="1:2" x14ac:dyDescent="0.25">
      <c r="A2182" s="198">
        <v>44781</v>
      </c>
      <c r="B2182" s="244">
        <v>8.1189999999999998</v>
      </c>
    </row>
    <row r="2183" spans="1:2" x14ac:dyDescent="0.25">
      <c r="A2183" s="198">
        <v>44782</v>
      </c>
      <c r="B2183" s="244">
        <v>8.1225000000000005</v>
      </c>
    </row>
    <row r="2184" spans="1:2" x14ac:dyDescent="0.25">
      <c r="A2184" s="198">
        <v>44783</v>
      </c>
      <c r="B2184" s="244">
        <v>8.1311999999999998</v>
      </c>
    </row>
    <row r="2185" spans="1:2" x14ac:dyDescent="0.25">
      <c r="A2185" s="198">
        <v>44784</v>
      </c>
      <c r="B2185" s="244">
        <v>8.1623999999999999</v>
      </c>
    </row>
    <row r="2186" spans="1:2" x14ac:dyDescent="0.25">
      <c r="A2186" s="198">
        <v>44785</v>
      </c>
      <c r="B2186" s="244">
        <v>8.1786999999999992</v>
      </c>
    </row>
    <row r="2187" spans="1:2" x14ac:dyDescent="0.25">
      <c r="A2187" s="198">
        <v>44788</v>
      </c>
      <c r="B2187" s="244">
        <v>8.7750000000000004</v>
      </c>
    </row>
    <row r="2188" spans="1:2" x14ac:dyDescent="0.25">
      <c r="A2188" s="198">
        <v>44789</v>
      </c>
      <c r="B2188" s="244">
        <v>8.7612000000000005</v>
      </c>
    </row>
    <row r="2189" spans="1:2" x14ac:dyDescent="0.25">
      <c r="A2189" s="198">
        <v>44790</v>
      </c>
      <c r="B2189" s="244">
        <v>8.7706</v>
      </c>
    </row>
    <row r="2190" spans="1:2" x14ac:dyDescent="0.25">
      <c r="A2190" s="198">
        <v>44791</v>
      </c>
      <c r="B2190" s="244">
        <v>8.7680000000000007</v>
      </c>
    </row>
    <row r="2191" spans="1:2" x14ac:dyDescent="0.25">
      <c r="A2191" s="198">
        <v>44792</v>
      </c>
      <c r="B2191" s="244">
        <v>8.7728000000000002</v>
      </c>
    </row>
    <row r="2192" spans="1:2" x14ac:dyDescent="0.25">
      <c r="A2192" s="198">
        <v>44795</v>
      </c>
      <c r="B2192" s="244">
        <v>8.7763000000000009</v>
      </c>
    </row>
    <row r="2193" spans="1:2" x14ac:dyDescent="0.25">
      <c r="A2193" s="198">
        <v>44796</v>
      </c>
      <c r="B2193" s="244">
        <v>8.7810000000000006</v>
      </c>
    </row>
    <row r="2194" spans="1:2" x14ac:dyDescent="0.25">
      <c r="A2194" s="198">
        <v>44797</v>
      </c>
      <c r="B2194" s="244">
        <v>8.7829999999999995</v>
      </c>
    </row>
    <row r="2195" spans="1:2" x14ac:dyDescent="0.25">
      <c r="A2195" s="198">
        <v>44798</v>
      </c>
      <c r="B2195" s="244">
        <v>8.8000000000000007</v>
      </c>
    </row>
    <row r="2196" spans="1:2" x14ac:dyDescent="0.25">
      <c r="A2196" s="198">
        <v>44799</v>
      </c>
      <c r="B2196" s="244">
        <v>8.8079999999999998</v>
      </c>
    </row>
    <row r="2197" spans="1:2" x14ac:dyDescent="0.25">
      <c r="A2197" s="198">
        <v>44802</v>
      </c>
      <c r="B2197" s="244">
        <v>8.8119999999999994</v>
      </c>
    </row>
    <row r="2198" spans="1:2" x14ac:dyDescent="0.25">
      <c r="A2198" s="198">
        <v>44803</v>
      </c>
      <c r="B2198" s="244">
        <v>8.8148</v>
      </c>
    </row>
    <row r="2199" spans="1:2" x14ac:dyDescent="0.25">
      <c r="A2199" s="198">
        <v>44804</v>
      </c>
      <c r="B2199" s="244">
        <v>8.8163</v>
      </c>
    </row>
    <row r="2200" spans="1:2" x14ac:dyDescent="0.25">
      <c r="A2200" s="198">
        <v>44805</v>
      </c>
      <c r="B2200" s="244">
        <v>8.8209999999999997</v>
      </c>
    </row>
    <row r="2201" spans="1:2" x14ac:dyDescent="0.25">
      <c r="A2201" s="198">
        <v>44806</v>
      </c>
      <c r="B2201" s="244">
        <v>8.8234999999999992</v>
      </c>
    </row>
    <row r="2202" spans="1:2" x14ac:dyDescent="0.25">
      <c r="A2202" s="198">
        <v>44809</v>
      </c>
      <c r="B2202" s="244">
        <v>8.82</v>
      </c>
    </row>
    <row r="2203" spans="1:2" x14ac:dyDescent="0.25">
      <c r="A2203" s="198">
        <v>44810</v>
      </c>
      <c r="B2203" s="244">
        <v>8.8177000000000003</v>
      </c>
    </row>
    <row r="2204" spans="1:2" x14ac:dyDescent="0.25">
      <c r="A2204" s="198">
        <v>44811</v>
      </c>
      <c r="B2204" s="244">
        <v>8.8195999999999994</v>
      </c>
    </row>
    <row r="2205" spans="1:2" x14ac:dyDescent="0.25">
      <c r="A2205" s="198">
        <v>44812</v>
      </c>
      <c r="B2205" s="244">
        <v>8.8350000000000009</v>
      </c>
    </row>
    <row r="2206" spans="1:2" x14ac:dyDescent="0.25">
      <c r="A2206" s="198">
        <v>44813</v>
      </c>
      <c r="B2206" s="244">
        <v>8.843</v>
      </c>
    </row>
    <row r="2207" spans="1:2" x14ac:dyDescent="0.25">
      <c r="A2207" s="198">
        <v>44816</v>
      </c>
      <c r="B2207" s="244">
        <v>8.8527000000000005</v>
      </c>
    </row>
    <row r="2208" spans="1:2" x14ac:dyDescent="0.25">
      <c r="A2208" s="198">
        <v>44817</v>
      </c>
      <c r="B2208" s="244">
        <v>8.8598999999999997</v>
      </c>
    </row>
    <row r="2209" spans="1:2" x14ac:dyDescent="0.25">
      <c r="A2209" s="198">
        <v>44818</v>
      </c>
      <c r="B2209" s="244">
        <v>8.8698999999999995</v>
      </c>
    </row>
    <row r="2210" spans="1:2" x14ac:dyDescent="0.25">
      <c r="A2210" s="198">
        <v>44819</v>
      </c>
      <c r="B2210" s="244">
        <v>8.8787000000000003</v>
      </c>
    </row>
    <row r="2211" spans="1:2" x14ac:dyDescent="0.25">
      <c r="A2211" s="198">
        <v>44823</v>
      </c>
      <c r="B2211" s="244">
        <v>8.8911999999999995</v>
      </c>
    </row>
    <row r="2212" spans="1:2" x14ac:dyDescent="0.25">
      <c r="A2212" s="198">
        <v>44824</v>
      </c>
      <c r="B2212" s="244">
        <v>8.9006000000000007</v>
      </c>
    </row>
    <row r="2213" spans="1:2" x14ac:dyDescent="0.25">
      <c r="A2213" s="198">
        <v>44825</v>
      </c>
      <c r="B2213" s="244">
        <v>8.9149999999999991</v>
      </c>
    </row>
    <row r="2214" spans="1:2" x14ac:dyDescent="0.25">
      <c r="A2214" s="198">
        <v>44826</v>
      </c>
      <c r="B2214" s="244">
        <v>8.9275000000000002</v>
      </c>
    </row>
    <row r="2215" spans="1:2" x14ac:dyDescent="0.25">
      <c r="A2215" s="198">
        <v>44827</v>
      </c>
      <c r="B2215" s="244">
        <v>8.9395000000000007</v>
      </c>
    </row>
    <row r="2216" spans="1:2" x14ac:dyDescent="0.25">
      <c r="A2216" s="198">
        <v>44830</v>
      </c>
      <c r="B2216" s="244">
        <v>8.9509000000000007</v>
      </c>
    </row>
    <row r="2217" spans="1:2" x14ac:dyDescent="0.25">
      <c r="A2217" s="198">
        <v>44831</v>
      </c>
      <c r="B2217" s="244">
        <v>8.9585000000000008</v>
      </c>
    </row>
    <row r="2218" spans="1:2" x14ac:dyDescent="0.25">
      <c r="A2218" s="198">
        <v>44832</v>
      </c>
      <c r="B2218" s="244">
        <v>8.9792000000000005</v>
      </c>
    </row>
    <row r="2219" spans="1:2" x14ac:dyDescent="0.25">
      <c r="A2219" s="198">
        <v>44833</v>
      </c>
      <c r="B2219" s="244">
        <v>8.9895999999999994</v>
      </c>
    </row>
    <row r="2220" spans="1:2" x14ac:dyDescent="0.25">
      <c r="A2220" s="198">
        <v>44834</v>
      </c>
      <c r="B2220" s="244">
        <v>9.02</v>
      </c>
    </row>
    <row r="2221" spans="1:2" x14ac:dyDescent="0.25">
      <c r="A2221" s="198">
        <v>44837</v>
      </c>
      <c r="B2221" s="244">
        <v>9.5350000000000001</v>
      </c>
    </row>
    <row r="2222" spans="1:2" x14ac:dyDescent="0.25">
      <c r="A2222" s="198">
        <v>44838</v>
      </c>
      <c r="B2222" s="244">
        <v>9.5366</v>
      </c>
    </row>
    <row r="2223" spans="1:2" x14ac:dyDescent="0.25">
      <c r="A2223" s="198">
        <v>44839</v>
      </c>
      <c r="B2223" s="244">
        <v>9.5452999999999992</v>
      </c>
    </row>
    <row r="2224" spans="1:2" x14ac:dyDescent="0.25">
      <c r="A2224" s="198">
        <v>44840</v>
      </c>
      <c r="B2224" s="244">
        <v>9.5515000000000008</v>
      </c>
    </row>
    <row r="2225" spans="1:2" x14ac:dyDescent="0.25">
      <c r="A2225" s="198">
        <v>44841</v>
      </c>
      <c r="B2225" s="244">
        <v>9.5450999999999997</v>
      </c>
    </row>
    <row r="2226" spans="1:2" x14ac:dyDescent="0.25">
      <c r="A2226" s="198">
        <v>44844</v>
      </c>
      <c r="B2226" s="244">
        <v>9.5465</v>
      </c>
    </row>
    <row r="2227" spans="1:2" x14ac:dyDescent="0.25">
      <c r="A2227" s="198">
        <v>44845</v>
      </c>
      <c r="B2227" s="244">
        <v>9.5449999999999999</v>
      </c>
    </row>
    <row r="2228" spans="1:2" x14ac:dyDescent="0.25">
      <c r="A2228" s="198">
        <v>44846</v>
      </c>
      <c r="B2228" s="244">
        <v>9.5515000000000008</v>
      </c>
    </row>
    <row r="2229" spans="1:2" x14ac:dyDescent="0.25">
      <c r="A2229" s="198">
        <v>44847</v>
      </c>
      <c r="B2229" s="244">
        <v>9.5594999999999999</v>
      </c>
    </row>
    <row r="2230" spans="1:2" x14ac:dyDescent="0.25">
      <c r="A2230" s="198">
        <v>44848</v>
      </c>
      <c r="B2230" s="244">
        <v>9.5634999999999994</v>
      </c>
    </row>
    <row r="2231" spans="1:2" x14ac:dyDescent="0.25">
      <c r="A2231" s="198">
        <v>44851</v>
      </c>
      <c r="B2231" s="244">
        <v>9.5655000000000001</v>
      </c>
    </row>
    <row r="2232" spans="1:2" x14ac:dyDescent="0.25">
      <c r="A2232" s="198">
        <v>44852</v>
      </c>
      <c r="B2232" s="244">
        <v>9.5664999999999996</v>
      </c>
    </row>
    <row r="2233" spans="1:2" x14ac:dyDescent="0.25">
      <c r="A2233" s="198">
        <v>44853</v>
      </c>
      <c r="B2233" s="244">
        <v>9.5670000000000002</v>
      </c>
    </row>
    <row r="2234" spans="1:2" x14ac:dyDescent="0.25">
      <c r="A2234" s="198">
        <v>44854</v>
      </c>
      <c r="B2234" s="244">
        <v>9.5663</v>
      </c>
    </row>
    <row r="2235" spans="1:2" x14ac:dyDescent="0.25">
      <c r="A2235" s="198">
        <v>44855</v>
      </c>
      <c r="B2235" s="244">
        <v>9.5670000000000002</v>
      </c>
    </row>
    <row r="2236" spans="1:2" x14ac:dyDescent="0.25">
      <c r="A2236" s="198">
        <v>44858</v>
      </c>
      <c r="B2236" s="244">
        <v>9.5675000000000008</v>
      </c>
    </row>
    <row r="2237" spans="1:2" x14ac:dyDescent="0.25">
      <c r="A2237" s="198">
        <v>44859</v>
      </c>
      <c r="B2237" s="244">
        <v>9.5749999999999993</v>
      </c>
    </row>
    <row r="2238" spans="1:2" x14ac:dyDescent="0.25">
      <c r="A2238" s="198">
        <v>44860</v>
      </c>
      <c r="B2238" s="244">
        <v>9.5839999999999996</v>
      </c>
    </row>
    <row r="2239" spans="1:2" x14ac:dyDescent="0.25">
      <c r="A2239" s="198">
        <v>44861</v>
      </c>
      <c r="B2239" s="244">
        <v>9.5909999999999993</v>
      </c>
    </row>
    <row r="2240" spans="1:2" x14ac:dyDescent="0.25">
      <c r="A2240" s="198">
        <v>44862</v>
      </c>
      <c r="B2240" s="244">
        <v>9.59</v>
      </c>
    </row>
    <row r="2241" spans="1:2" x14ac:dyDescent="0.25">
      <c r="A2241" s="198">
        <v>44865</v>
      </c>
      <c r="B2241" s="244">
        <v>9.5939999999999994</v>
      </c>
    </row>
    <row r="2242" spans="1:2" x14ac:dyDescent="0.25">
      <c r="A2242" s="198">
        <v>44866</v>
      </c>
      <c r="B2242" s="244">
        <v>9.5960000000000001</v>
      </c>
    </row>
    <row r="2243" spans="1:2" x14ac:dyDescent="0.25">
      <c r="A2243" s="198">
        <v>44868</v>
      </c>
      <c r="B2243" s="244">
        <v>9.5969999999999995</v>
      </c>
    </row>
    <row r="2244" spans="1:2" x14ac:dyDescent="0.25">
      <c r="A2244" s="198">
        <v>44869</v>
      </c>
      <c r="B2244" s="244">
        <v>9.6059999999999999</v>
      </c>
    </row>
    <row r="2245" spans="1:2" x14ac:dyDescent="0.25">
      <c r="A2245" s="198">
        <v>44872</v>
      </c>
      <c r="B2245" s="244">
        <v>9.6120000000000001</v>
      </c>
    </row>
    <row r="2246" spans="1:2" x14ac:dyDescent="0.25">
      <c r="A2246" s="198">
        <v>44873</v>
      </c>
      <c r="B2246" s="244">
        <v>9.6125000000000007</v>
      </c>
    </row>
    <row r="2247" spans="1:2" x14ac:dyDescent="0.25">
      <c r="A2247" s="198">
        <v>44874</v>
      </c>
      <c r="B2247" s="244">
        <v>9.6199999999999992</v>
      </c>
    </row>
    <row r="2248" spans="1:2" x14ac:dyDescent="0.25">
      <c r="A2248" s="198">
        <v>44875</v>
      </c>
      <c r="B2248" s="244">
        <v>9.6300000000000008</v>
      </c>
    </row>
    <row r="2249" spans="1:2" x14ac:dyDescent="0.25">
      <c r="A2249" s="198">
        <v>44876</v>
      </c>
      <c r="B2249" s="244">
        <v>9.65</v>
      </c>
    </row>
    <row r="2250" spans="1:2" x14ac:dyDescent="0.25">
      <c r="A2250" s="198">
        <v>44879</v>
      </c>
      <c r="B2250" s="244">
        <v>10.220000000000001</v>
      </c>
    </row>
    <row r="2251" spans="1:2" x14ac:dyDescent="0.25">
      <c r="A2251" s="198">
        <v>44880</v>
      </c>
      <c r="B2251" s="244">
        <v>10.234999999999999</v>
      </c>
    </row>
    <row r="2252" spans="1:2" x14ac:dyDescent="0.25">
      <c r="A2252" s="198">
        <v>44881</v>
      </c>
      <c r="B2252" s="244">
        <v>10.245699999999999</v>
      </c>
    </row>
    <row r="2253" spans="1:2" x14ac:dyDescent="0.25">
      <c r="A2253" s="198">
        <v>44882</v>
      </c>
      <c r="B2253" s="244">
        <v>10.24</v>
      </c>
    </row>
    <row r="2254" spans="1:2" x14ac:dyDescent="0.25">
      <c r="A2254" s="198">
        <v>44883</v>
      </c>
      <c r="B2254" s="244">
        <v>10.2395</v>
      </c>
    </row>
    <row r="2255" spans="1:2" x14ac:dyDescent="0.25">
      <c r="A2255" s="198">
        <v>44887</v>
      </c>
      <c r="B2255" s="244">
        <v>10.249499999999999</v>
      </c>
    </row>
    <row r="2256" spans="1:2" x14ac:dyDescent="0.25">
      <c r="A2256" s="198">
        <v>44888</v>
      </c>
      <c r="B2256" s="244">
        <v>10.248699999999999</v>
      </c>
    </row>
    <row r="2257" spans="1:2" x14ac:dyDescent="0.25">
      <c r="A2257" s="198">
        <v>44889</v>
      </c>
      <c r="B2257" s="244">
        <v>10.2599</v>
      </c>
    </row>
    <row r="2258" spans="1:2" x14ac:dyDescent="0.25">
      <c r="A2258" s="198">
        <v>44890</v>
      </c>
      <c r="B2258" s="244">
        <v>10.269399999999999</v>
      </c>
    </row>
    <row r="2259" spans="1:2" x14ac:dyDescent="0.25">
      <c r="A2259" s="198">
        <v>44893</v>
      </c>
      <c r="B2259" s="244">
        <v>10.274900000000001</v>
      </c>
    </row>
    <row r="2260" spans="1:2" x14ac:dyDescent="0.25">
      <c r="A2260" s="198">
        <v>44894</v>
      </c>
      <c r="B2260" s="244">
        <v>10.2857</v>
      </c>
    </row>
    <row r="2261" spans="1:2" x14ac:dyDescent="0.25">
      <c r="A2261" s="198">
        <v>44895</v>
      </c>
      <c r="B2261" s="244">
        <v>10.2875</v>
      </c>
    </row>
    <row r="2262" spans="1:2" x14ac:dyDescent="0.25">
      <c r="A2262" s="198">
        <v>44896</v>
      </c>
      <c r="B2262" s="244">
        <v>10.2935</v>
      </c>
    </row>
    <row r="2263" spans="1:2" x14ac:dyDescent="0.25">
      <c r="A2263" s="198">
        <v>44897</v>
      </c>
      <c r="B2263" s="244">
        <v>10.2987</v>
      </c>
    </row>
    <row r="2264" spans="1:2" x14ac:dyDescent="0.25">
      <c r="A2264" s="198">
        <v>44900</v>
      </c>
      <c r="B2264" s="244">
        <v>10.308999999999999</v>
      </c>
    </row>
    <row r="2265" spans="1:2" x14ac:dyDescent="0.25">
      <c r="A2265" s="198">
        <v>44901</v>
      </c>
      <c r="B2265" s="244">
        <v>10.3162</v>
      </c>
    </row>
    <row r="2266" spans="1:2" x14ac:dyDescent="0.25">
      <c r="A2266" s="198">
        <v>44902</v>
      </c>
      <c r="B2266" s="244">
        <v>10.3249</v>
      </c>
    </row>
    <row r="2267" spans="1:2" x14ac:dyDescent="0.25">
      <c r="A2267" s="198">
        <v>44903</v>
      </c>
      <c r="B2267" s="244">
        <v>10.3287</v>
      </c>
    </row>
    <row r="2268" spans="1:2" x14ac:dyDescent="0.25">
      <c r="A2268" s="198">
        <v>44904</v>
      </c>
      <c r="B2268" s="244">
        <v>10.334300000000001</v>
      </c>
    </row>
    <row r="2269" spans="1:2" x14ac:dyDescent="0.25">
      <c r="A2269" s="198">
        <v>44908</v>
      </c>
      <c r="B2269" s="244">
        <v>10.347099999999999</v>
      </c>
    </row>
    <row r="2270" spans="1:2" x14ac:dyDescent="0.25">
      <c r="A2270" s="198">
        <v>44909</v>
      </c>
      <c r="B2270" s="244">
        <v>10.3535</v>
      </c>
    </row>
    <row r="2271" spans="1:2" x14ac:dyDescent="0.25">
      <c r="A2271" s="198">
        <v>44910</v>
      </c>
      <c r="B2271" s="244">
        <v>10.3612</v>
      </c>
    </row>
    <row r="2272" spans="1:2" x14ac:dyDescent="0.25">
      <c r="A2272" s="198">
        <v>44911</v>
      </c>
      <c r="B2272" s="244">
        <v>10.373699999999999</v>
      </c>
    </row>
    <row r="2273" spans="1:2" x14ac:dyDescent="0.25">
      <c r="A2273" s="198">
        <v>44914</v>
      </c>
      <c r="B2273" s="244">
        <v>10.7125</v>
      </c>
    </row>
    <row r="2274" spans="1:2" x14ac:dyDescent="0.25">
      <c r="A2274" s="198">
        <v>44915</v>
      </c>
      <c r="B2274" s="244">
        <v>10.715</v>
      </c>
    </row>
    <row r="2275" spans="1:2" x14ac:dyDescent="0.25">
      <c r="A2275" s="198">
        <v>44916</v>
      </c>
      <c r="B2275" s="244">
        <v>10.722</v>
      </c>
    </row>
    <row r="2276" spans="1:2" x14ac:dyDescent="0.25">
      <c r="A2276" s="198">
        <v>44917</v>
      </c>
      <c r="B2276" s="244">
        <v>10.735900000000001</v>
      </c>
    </row>
    <row r="2277" spans="1:2" x14ac:dyDescent="0.25">
      <c r="A2277" s="198">
        <v>44918</v>
      </c>
      <c r="B2277" s="244">
        <v>10.737500000000001</v>
      </c>
    </row>
    <row r="2278" spans="1:2" x14ac:dyDescent="0.25">
      <c r="A2278" s="198">
        <v>44921</v>
      </c>
      <c r="B2278" s="244">
        <v>10.747199999999999</v>
      </c>
    </row>
    <row r="2279" spans="1:2" x14ac:dyDescent="0.25">
      <c r="A2279" s="198">
        <v>44922</v>
      </c>
      <c r="B2279" s="244">
        <v>10.744999999999999</v>
      </c>
    </row>
    <row r="2280" spans="1:2" x14ac:dyDescent="0.25">
      <c r="A2280" s="198">
        <v>44923</v>
      </c>
      <c r="B2280" s="244">
        <v>10.7545</v>
      </c>
    </row>
    <row r="2281" spans="1:2" x14ac:dyDescent="0.25">
      <c r="A2281" s="198">
        <v>44924</v>
      </c>
      <c r="B2281" s="244">
        <v>10.762</v>
      </c>
    </row>
    <row r="2282" spans="1:2" x14ac:dyDescent="0.25">
      <c r="A2282" s="198">
        <v>44925</v>
      </c>
      <c r="B2282" s="244">
        <v>10.7605</v>
      </c>
    </row>
    <row r="2283" spans="1:2" x14ac:dyDescent="0.25">
      <c r="A2283" s="198">
        <v>44928</v>
      </c>
      <c r="B2283" s="244">
        <v>10.77</v>
      </c>
    </row>
    <row r="2284" spans="1:2" x14ac:dyDescent="0.25">
      <c r="A2284" s="198">
        <v>44929</v>
      </c>
      <c r="B2284" s="244">
        <v>10.7775</v>
      </c>
    </row>
    <row r="2285" spans="1:2" x14ac:dyDescent="0.25">
      <c r="A2285" s="198">
        <v>44930</v>
      </c>
      <c r="B2285" s="244">
        <v>10.776999999999999</v>
      </c>
    </row>
    <row r="2286" spans="1:2" x14ac:dyDescent="0.25">
      <c r="A2286" s="198">
        <v>44931</v>
      </c>
      <c r="B2286" s="244">
        <v>10.766299999999999</v>
      </c>
    </row>
    <row r="2287" spans="1:2" x14ac:dyDescent="0.25">
      <c r="A2287" s="198">
        <v>44932</v>
      </c>
      <c r="B2287" s="244">
        <v>10.768000000000001</v>
      </c>
    </row>
    <row r="2288" spans="1:2" x14ac:dyDescent="0.25">
      <c r="A2288" s="198">
        <v>44935</v>
      </c>
      <c r="B2288" s="244">
        <v>10.769</v>
      </c>
    </row>
    <row r="2289" spans="1:2" x14ac:dyDescent="0.25">
      <c r="A2289" s="198">
        <v>44936</v>
      </c>
      <c r="B2289" s="244">
        <v>10.7745</v>
      </c>
    </row>
    <row r="2290" spans="1:2" x14ac:dyDescent="0.25">
      <c r="A2290" s="198">
        <v>44937</v>
      </c>
      <c r="B2290" s="244">
        <v>10.7675</v>
      </c>
    </row>
    <row r="2291" spans="1:2" x14ac:dyDescent="0.25">
      <c r="A2291" s="198">
        <v>44938</v>
      </c>
      <c r="B2291" s="244">
        <v>10.7675</v>
      </c>
    </row>
    <row r="2292" spans="1:2" x14ac:dyDescent="0.25">
      <c r="A2292" s="198">
        <v>44939</v>
      </c>
      <c r="B2292" s="244">
        <v>10.7675</v>
      </c>
    </row>
    <row r="2293" spans="1:2" x14ac:dyDescent="0.25">
      <c r="A2293" s="198">
        <v>44942</v>
      </c>
      <c r="B2293" s="244">
        <v>10.76</v>
      </c>
    </row>
    <row r="2294" spans="1:2" x14ac:dyDescent="0.25">
      <c r="A2294" s="198">
        <v>44943</v>
      </c>
      <c r="B2294" s="244">
        <v>10.775</v>
      </c>
    </row>
    <row r="2295" spans="1:2" x14ac:dyDescent="0.25">
      <c r="A2295" s="198">
        <v>44944</v>
      </c>
      <c r="B2295" s="244">
        <v>10.7775</v>
      </c>
    </row>
    <row r="2296" spans="1:2" x14ac:dyDescent="0.25">
      <c r="A2296" s="198">
        <v>44945</v>
      </c>
      <c r="B2296" s="244">
        <v>10.7872</v>
      </c>
    </row>
    <row r="2297" spans="1:2" x14ac:dyDescent="0.25">
      <c r="A2297" s="198">
        <v>44946</v>
      </c>
      <c r="B2297" s="244">
        <v>10.788500000000001</v>
      </c>
    </row>
    <row r="2298" spans="1:2" x14ac:dyDescent="0.25">
      <c r="A2298" s="198">
        <v>44949</v>
      </c>
      <c r="B2298" s="244">
        <v>10.789899999999999</v>
      </c>
    </row>
    <row r="2299" spans="1:2" x14ac:dyDescent="0.25">
      <c r="A2299" s="198">
        <v>44950</v>
      </c>
      <c r="B2299" s="244">
        <v>10.792400000000001</v>
      </c>
    </row>
    <row r="2300" spans="1:2" x14ac:dyDescent="0.25">
      <c r="A2300" s="198">
        <v>44951</v>
      </c>
      <c r="B2300" s="244">
        <v>10.791</v>
      </c>
    </row>
    <row r="2301" spans="1:2" x14ac:dyDescent="0.25">
      <c r="A2301" s="198">
        <v>44952</v>
      </c>
      <c r="B2301" s="244">
        <v>10.7965</v>
      </c>
    </row>
    <row r="2302" spans="1:2" x14ac:dyDescent="0.25">
      <c r="A2302" s="198">
        <v>44953</v>
      </c>
      <c r="B2302" s="244">
        <v>10.795500000000001</v>
      </c>
    </row>
    <row r="2303" spans="1:2" x14ac:dyDescent="0.25">
      <c r="A2303" s="198">
        <v>44956</v>
      </c>
      <c r="B2303" s="244">
        <v>10.805</v>
      </c>
    </row>
    <row r="2304" spans="1:2" x14ac:dyDescent="0.25">
      <c r="A2304" s="198">
        <v>44957</v>
      </c>
      <c r="B2304" s="244">
        <v>10.8162</v>
      </c>
    </row>
    <row r="2305" spans="1:2" x14ac:dyDescent="0.25">
      <c r="A2305" s="198">
        <v>44958</v>
      </c>
      <c r="B2305" s="244">
        <v>10.8125</v>
      </c>
    </row>
    <row r="2306" spans="1:2" x14ac:dyDescent="0.25">
      <c r="A2306" s="198">
        <v>44959</v>
      </c>
      <c r="B2306" s="244">
        <v>10.827400000000001</v>
      </c>
    </row>
    <row r="2307" spans="1:2" x14ac:dyDescent="0.25">
      <c r="A2307" s="198">
        <v>44960</v>
      </c>
      <c r="B2307" s="244">
        <v>10.833500000000001</v>
      </c>
    </row>
    <row r="2308" spans="1:2" x14ac:dyDescent="0.25">
      <c r="A2308" s="198">
        <v>44964</v>
      </c>
      <c r="B2308" s="244">
        <v>10.844900000000001</v>
      </c>
    </row>
    <row r="2309" spans="1:2" x14ac:dyDescent="0.25">
      <c r="A2309" s="198">
        <v>44965</v>
      </c>
      <c r="B2309" s="244">
        <v>10.8512</v>
      </c>
    </row>
    <row r="2310" spans="1:2" x14ac:dyDescent="0.25">
      <c r="A2310" s="198">
        <v>44966</v>
      </c>
      <c r="B2310" s="244">
        <v>10.8605</v>
      </c>
    </row>
    <row r="2311" spans="1:2" x14ac:dyDescent="0.25">
      <c r="A2311" s="198">
        <v>44967</v>
      </c>
      <c r="B2311" s="244">
        <v>10.88</v>
      </c>
    </row>
    <row r="2312" spans="1:2" x14ac:dyDescent="0.25">
      <c r="A2312" s="198">
        <v>44970</v>
      </c>
      <c r="B2312" s="244">
        <v>11.227499999999999</v>
      </c>
    </row>
    <row r="2313" spans="1:2" x14ac:dyDescent="0.25">
      <c r="A2313" s="198">
        <v>44971</v>
      </c>
      <c r="B2313" s="244">
        <v>11.2349</v>
      </c>
    </row>
    <row r="2314" spans="1:2" x14ac:dyDescent="0.25">
      <c r="A2314" s="198">
        <v>44972</v>
      </c>
      <c r="B2314" s="244">
        <v>11.237</v>
      </c>
    </row>
    <row r="2315" spans="1:2" x14ac:dyDescent="0.25">
      <c r="A2315" s="198">
        <v>44973</v>
      </c>
      <c r="B2315" s="244">
        <v>11.243</v>
      </c>
    </row>
    <row r="2316" spans="1:2" x14ac:dyDescent="0.25">
      <c r="A2316" s="198">
        <v>44974</v>
      </c>
      <c r="B2316" s="244">
        <v>11.241</v>
      </c>
    </row>
    <row r="2317" spans="1:2" x14ac:dyDescent="0.25">
      <c r="A2317" s="198">
        <v>44977</v>
      </c>
      <c r="B2317" s="244">
        <v>11.244999999999999</v>
      </c>
    </row>
    <row r="2318" spans="1:2" x14ac:dyDescent="0.25">
      <c r="A2318" s="198">
        <v>44978</v>
      </c>
      <c r="B2318" s="244">
        <v>11.2545</v>
      </c>
    </row>
    <row r="2319" spans="1:2" x14ac:dyDescent="0.25">
      <c r="A2319" s="198">
        <v>44979</v>
      </c>
      <c r="B2319" s="244">
        <v>11.264200000000001</v>
      </c>
    </row>
    <row r="2320" spans="1:2" x14ac:dyDescent="0.25">
      <c r="A2320" s="198">
        <v>44980</v>
      </c>
      <c r="B2320" s="244">
        <v>11.260400000000001</v>
      </c>
    </row>
    <row r="2321" spans="1:2" x14ac:dyDescent="0.25">
      <c r="A2321" s="198">
        <v>44981</v>
      </c>
      <c r="B2321" s="244">
        <v>11.27</v>
      </c>
    </row>
    <row r="2322" spans="1:2" x14ac:dyDescent="0.25">
      <c r="A2322" s="198">
        <v>44984</v>
      </c>
      <c r="B2322" s="244">
        <v>11.275</v>
      </c>
    </row>
    <row r="2323" spans="1:2" x14ac:dyDescent="0.25">
      <c r="A2323" s="198">
        <v>44985</v>
      </c>
      <c r="B2323" s="244">
        <v>11.265499999999999</v>
      </c>
    </row>
    <row r="2324" spans="1:2" x14ac:dyDescent="0.25">
      <c r="A2324" s="198">
        <v>44986</v>
      </c>
      <c r="B2324" s="244">
        <v>11.273999999999999</v>
      </c>
    </row>
    <row r="2325" spans="1:2" x14ac:dyDescent="0.25">
      <c r="A2325" s="198">
        <v>44987</v>
      </c>
      <c r="B2325" s="244">
        <v>11.2675</v>
      </c>
    </row>
    <row r="2326" spans="1:2" x14ac:dyDescent="0.25">
      <c r="A2326" s="198">
        <v>44988</v>
      </c>
      <c r="B2326" s="244">
        <v>11.2775</v>
      </c>
    </row>
    <row r="2327" spans="1:2" x14ac:dyDescent="0.25">
      <c r="A2327" s="198">
        <v>44991</v>
      </c>
      <c r="B2327" s="244">
        <v>11.282299999999999</v>
      </c>
    </row>
    <row r="2328" spans="1:2" x14ac:dyDescent="0.25">
      <c r="A2328" s="198">
        <v>44992</v>
      </c>
      <c r="B2328" s="244">
        <v>11.285</v>
      </c>
    </row>
    <row r="2329" spans="1:2" x14ac:dyDescent="0.25">
      <c r="A2329" s="198">
        <v>44993</v>
      </c>
      <c r="B2329" s="244">
        <v>11.295999999999999</v>
      </c>
    </row>
    <row r="2330" spans="1:2" x14ac:dyDescent="0.25">
      <c r="A2330" s="198">
        <v>44994</v>
      </c>
      <c r="B2330" s="244">
        <v>11.296200000000001</v>
      </c>
    </row>
    <row r="2331" spans="1:2" x14ac:dyDescent="0.25">
      <c r="A2331" s="198">
        <v>44995</v>
      </c>
      <c r="B2331" s="244">
        <v>11.308</v>
      </c>
    </row>
    <row r="2332" spans="1:2" x14ac:dyDescent="0.25">
      <c r="A2332" s="198">
        <v>44998</v>
      </c>
      <c r="B2332" s="244">
        <v>11.314</v>
      </c>
    </row>
    <row r="2333" spans="1:2" x14ac:dyDescent="0.25">
      <c r="A2333" s="198">
        <v>44999</v>
      </c>
      <c r="B2333" s="244">
        <v>11.3195</v>
      </c>
    </row>
    <row r="2334" spans="1:2" x14ac:dyDescent="0.25">
      <c r="A2334" s="198">
        <v>45000</v>
      </c>
      <c r="B2334" s="244">
        <v>11.3245</v>
      </c>
    </row>
    <row r="2335" spans="1:2" x14ac:dyDescent="0.25">
      <c r="A2335" s="198">
        <v>45001</v>
      </c>
      <c r="B2335" s="244">
        <v>11.337199999999999</v>
      </c>
    </row>
    <row r="2336" spans="1:2" x14ac:dyDescent="0.25">
      <c r="A2336" s="198">
        <v>45002</v>
      </c>
      <c r="B2336" s="244">
        <v>11.3474</v>
      </c>
    </row>
    <row r="2337" spans="1:2" x14ac:dyDescent="0.25">
      <c r="A2337" s="198">
        <v>45006</v>
      </c>
      <c r="B2337" s="244">
        <v>11.35</v>
      </c>
    </row>
    <row r="2338" spans="1:2" x14ac:dyDescent="0.25">
      <c r="A2338" s="198">
        <v>45007</v>
      </c>
      <c r="B2338" s="244">
        <v>11.355</v>
      </c>
    </row>
    <row r="2339" spans="1:2" x14ac:dyDescent="0.25">
      <c r="A2339" s="198">
        <v>45008</v>
      </c>
      <c r="B2339" s="244">
        <v>11.365</v>
      </c>
    </row>
    <row r="2340" spans="1:2" x14ac:dyDescent="0.25">
      <c r="A2340" s="198">
        <v>45009</v>
      </c>
      <c r="B2340" s="244">
        <v>11.3749</v>
      </c>
    </row>
    <row r="2341" spans="1:2" x14ac:dyDescent="0.25">
      <c r="A2341" s="198">
        <v>45012</v>
      </c>
      <c r="B2341" s="244">
        <v>11.3874</v>
      </c>
    </row>
    <row r="2342" spans="1:2" x14ac:dyDescent="0.25">
      <c r="A2342" s="198">
        <v>45013</v>
      </c>
      <c r="B2342" s="244">
        <v>11.3986</v>
      </c>
    </row>
    <row r="2343" spans="1:2" x14ac:dyDescent="0.25">
      <c r="A2343" s="198">
        <v>45014</v>
      </c>
      <c r="B2343" s="244">
        <v>11.403499999999999</v>
      </c>
    </row>
    <row r="2344" spans="1:2" x14ac:dyDescent="0.25">
      <c r="A2344" s="198">
        <v>45015</v>
      </c>
      <c r="B2344" s="244">
        <v>11.414899999999999</v>
      </c>
    </row>
    <row r="2345" spans="1:2" x14ac:dyDescent="0.25">
      <c r="A2345" s="198">
        <v>45016</v>
      </c>
      <c r="B2345" s="244">
        <v>11.4274</v>
      </c>
    </row>
    <row r="2346" spans="1:2" x14ac:dyDescent="0.25">
      <c r="A2346" s="198">
        <v>45019</v>
      </c>
      <c r="B2346" s="244">
        <v>11.52</v>
      </c>
    </row>
    <row r="2347" spans="1:2" x14ac:dyDescent="0.25">
      <c r="A2347" s="198">
        <v>45020</v>
      </c>
      <c r="B2347" s="244">
        <v>11.519500000000001</v>
      </c>
    </row>
    <row r="2348" spans="1:2" x14ac:dyDescent="0.25">
      <c r="A2348" s="198">
        <v>45021</v>
      </c>
      <c r="B2348" s="244">
        <v>11.5175</v>
      </c>
    </row>
    <row r="2349" spans="1:2" x14ac:dyDescent="0.25">
      <c r="A2349" s="198">
        <v>45026</v>
      </c>
      <c r="B2349" s="244">
        <v>11.5267</v>
      </c>
    </row>
    <row r="2350" spans="1:2" x14ac:dyDescent="0.25">
      <c r="A2350" s="198">
        <v>45027</v>
      </c>
      <c r="B2350" s="244">
        <v>11.5175</v>
      </c>
    </row>
    <row r="2351" spans="1:2" x14ac:dyDescent="0.25">
      <c r="A2351" s="198">
        <v>45028</v>
      </c>
      <c r="B2351" s="244">
        <v>11.5175</v>
      </c>
    </row>
    <row r="2352" spans="1:2" x14ac:dyDescent="0.25">
      <c r="A2352" s="198">
        <v>45029</v>
      </c>
      <c r="B2352" s="244">
        <v>11.525499999999999</v>
      </c>
    </row>
    <row r="2353" spans="1:2" x14ac:dyDescent="0.25">
      <c r="A2353" s="198">
        <v>45030</v>
      </c>
      <c r="B2353" s="244">
        <v>11.5345</v>
      </c>
    </row>
    <row r="2354" spans="1:2" x14ac:dyDescent="0.25">
      <c r="A2354" s="198">
        <v>45033</v>
      </c>
      <c r="B2354" s="244">
        <v>11.539</v>
      </c>
    </row>
    <row r="2355" spans="1:2" x14ac:dyDescent="0.25">
      <c r="A2355" s="198">
        <v>45034</v>
      </c>
      <c r="B2355" s="244">
        <v>11.535299999999999</v>
      </c>
    </row>
    <row r="2356" spans="1:2" x14ac:dyDescent="0.25">
      <c r="A2356" s="198">
        <v>45035</v>
      </c>
      <c r="B2356" s="244">
        <v>11.537000000000001</v>
      </c>
    </row>
    <row r="2357" spans="1:2" x14ac:dyDescent="0.25">
      <c r="A2357" s="198">
        <v>45036</v>
      </c>
      <c r="B2357" s="244">
        <v>11.5329</v>
      </c>
    </row>
    <row r="2358" spans="1:2" x14ac:dyDescent="0.25">
      <c r="A2358" s="198">
        <v>45037</v>
      </c>
      <c r="B2358" s="244">
        <v>11.529299999999999</v>
      </c>
    </row>
    <row r="2359" spans="1:2" x14ac:dyDescent="0.25">
      <c r="A2359" s="198">
        <v>45040</v>
      </c>
      <c r="B2359" s="244">
        <v>11.5253</v>
      </c>
    </row>
    <row r="2360" spans="1:2" x14ac:dyDescent="0.25">
      <c r="A2360" s="198">
        <v>45041</v>
      </c>
      <c r="B2360" s="244">
        <v>11.525</v>
      </c>
    </row>
    <row r="2361" spans="1:2" x14ac:dyDescent="0.25">
      <c r="A2361" s="198">
        <v>45042</v>
      </c>
      <c r="B2361" s="244">
        <v>11.5265</v>
      </c>
    </row>
    <row r="2362" spans="1:2" x14ac:dyDescent="0.25">
      <c r="A2362" s="198">
        <v>45043</v>
      </c>
      <c r="B2362" s="244">
        <v>11.5357</v>
      </c>
    </row>
    <row r="2363" spans="1:2" x14ac:dyDescent="0.25">
      <c r="A2363" s="198">
        <v>45044</v>
      </c>
      <c r="B2363" s="244">
        <v>11.544499999999999</v>
      </c>
    </row>
    <row r="2364" spans="1:2" x14ac:dyDescent="0.25">
      <c r="A2364" s="198">
        <v>45048</v>
      </c>
      <c r="B2364" s="244">
        <v>11.549899999999999</v>
      </c>
    </row>
    <row r="2365" spans="1:2" x14ac:dyDescent="0.25">
      <c r="A2365" s="198">
        <v>45049</v>
      </c>
      <c r="B2365" s="244">
        <v>11.548999999999999</v>
      </c>
    </row>
    <row r="2366" spans="1:2" x14ac:dyDescent="0.25">
      <c r="A2366" s="198">
        <v>45050</v>
      </c>
      <c r="B2366" s="244">
        <v>11.554</v>
      </c>
    </row>
    <row r="2367" spans="1:2" x14ac:dyDescent="0.25">
      <c r="A2367" s="198">
        <v>45051</v>
      </c>
      <c r="B2367" s="244">
        <v>11.5669</v>
      </c>
    </row>
    <row r="2368" spans="1:2" x14ac:dyDescent="0.25">
      <c r="A2368" s="198">
        <v>45054</v>
      </c>
      <c r="B2368" s="244">
        <v>11.5625</v>
      </c>
    </row>
    <row r="2369" spans="1:2" x14ac:dyDescent="0.25">
      <c r="A2369" s="198">
        <v>45055</v>
      </c>
      <c r="B2369" s="244">
        <v>11.561999999999999</v>
      </c>
    </row>
    <row r="2370" spans="1:2" x14ac:dyDescent="0.25">
      <c r="A2370" s="198">
        <v>45056</v>
      </c>
      <c r="B2370" s="244">
        <v>11.565200000000001</v>
      </c>
    </row>
    <row r="2371" spans="1:2" x14ac:dyDescent="0.25">
      <c r="A2371" s="198">
        <v>45057</v>
      </c>
      <c r="B2371" s="244">
        <v>11.553800000000001</v>
      </c>
    </row>
    <row r="2372" spans="1:2" x14ac:dyDescent="0.25">
      <c r="A2372" s="198">
        <v>45058</v>
      </c>
      <c r="B2372" s="244">
        <v>11.552300000000001</v>
      </c>
    </row>
    <row r="2373" spans="1:2" x14ac:dyDescent="0.25">
      <c r="A2373" s="198">
        <v>45061</v>
      </c>
      <c r="B2373" s="244">
        <v>11.549300000000001</v>
      </c>
    </row>
    <row r="2374" spans="1:2" x14ac:dyDescent="0.25">
      <c r="A2374" s="198">
        <v>45062</v>
      </c>
      <c r="B2374" s="244">
        <v>11.538399999999999</v>
      </c>
    </row>
    <row r="2375" spans="1:2" x14ac:dyDescent="0.25">
      <c r="A2375" s="198">
        <v>45063</v>
      </c>
      <c r="B2375" s="244">
        <v>11.5375</v>
      </c>
    </row>
    <row r="2376" spans="1:2" x14ac:dyDescent="0.25">
      <c r="A2376" s="198">
        <v>45064</v>
      </c>
      <c r="B2376" s="244">
        <v>11.525</v>
      </c>
    </row>
    <row r="2377" spans="1:2" x14ac:dyDescent="0.25">
      <c r="A2377" s="198">
        <v>45065</v>
      </c>
      <c r="B2377" s="244">
        <v>11.526</v>
      </c>
    </row>
    <row r="2378" spans="1:2" x14ac:dyDescent="0.25">
      <c r="A2378" s="198">
        <v>45068</v>
      </c>
      <c r="B2378" s="244">
        <v>11.5213</v>
      </c>
    </row>
    <row r="2379" spans="1:2" x14ac:dyDescent="0.25">
      <c r="A2379" s="198">
        <v>45069</v>
      </c>
      <c r="B2379" s="244">
        <v>11.515000000000001</v>
      </c>
    </row>
    <row r="2380" spans="1:2" x14ac:dyDescent="0.25">
      <c r="A2380" s="198">
        <v>45070</v>
      </c>
      <c r="B2380" s="244">
        <v>11.513500000000001</v>
      </c>
    </row>
    <row r="2381" spans="1:2" x14ac:dyDescent="0.25">
      <c r="A2381" s="198">
        <v>45071</v>
      </c>
      <c r="B2381" s="244">
        <v>11.51</v>
      </c>
    </row>
    <row r="2382" spans="1:2" x14ac:dyDescent="0.25">
      <c r="A2382" s="198">
        <v>45072</v>
      </c>
      <c r="B2382" s="244">
        <v>11.513500000000001</v>
      </c>
    </row>
    <row r="2383" spans="1:2" x14ac:dyDescent="0.25">
      <c r="A2383" s="198">
        <v>45075</v>
      </c>
      <c r="B2383" s="244">
        <v>11.5017</v>
      </c>
    </row>
    <row r="2384" spans="1:2" x14ac:dyDescent="0.25">
      <c r="A2384" s="198">
        <v>45076</v>
      </c>
      <c r="B2384" s="244">
        <v>11.509</v>
      </c>
    </row>
    <row r="2385" spans="1:2" x14ac:dyDescent="0.25">
      <c r="A2385" s="198">
        <v>45077</v>
      </c>
      <c r="B2385" s="244">
        <v>11.505699999999999</v>
      </c>
    </row>
    <row r="2386" spans="1:2" x14ac:dyDescent="0.25">
      <c r="A2386" s="198">
        <v>45078</v>
      </c>
      <c r="B2386" s="244">
        <v>11.496600000000001</v>
      </c>
    </row>
    <row r="2387" spans="1:2" x14ac:dyDescent="0.25">
      <c r="A2387" s="198">
        <v>45079</v>
      </c>
      <c r="B2387" s="244">
        <v>11.504</v>
      </c>
    </row>
    <row r="2388" spans="1:2" x14ac:dyDescent="0.25">
      <c r="A2388" s="198">
        <v>45082</v>
      </c>
      <c r="B2388" s="244">
        <v>11.503299999999999</v>
      </c>
    </row>
    <row r="2389" spans="1:2" x14ac:dyDescent="0.25">
      <c r="A2389" s="198">
        <v>45083</v>
      </c>
      <c r="B2389" s="244">
        <v>11.5</v>
      </c>
    </row>
    <row r="2390" spans="1:2" x14ac:dyDescent="0.25">
      <c r="A2390" s="198">
        <v>45084</v>
      </c>
      <c r="B2390" s="244">
        <v>11.497999999999999</v>
      </c>
    </row>
    <row r="2391" spans="1:2" x14ac:dyDescent="0.25">
      <c r="A2391" s="198">
        <v>45085</v>
      </c>
      <c r="B2391" s="244">
        <v>11.5015</v>
      </c>
    </row>
    <row r="2392" spans="1:2" x14ac:dyDescent="0.25">
      <c r="A2392" s="198">
        <v>45086</v>
      </c>
      <c r="B2392" s="244">
        <v>11.509</v>
      </c>
    </row>
    <row r="2393" spans="1:2" x14ac:dyDescent="0.25">
      <c r="A2393" s="198">
        <v>45089</v>
      </c>
      <c r="B2393" s="244">
        <v>11.512499999999999</v>
      </c>
    </row>
    <row r="2394" spans="1:2" x14ac:dyDescent="0.25">
      <c r="A2394" s="198">
        <v>45090</v>
      </c>
      <c r="B2394" s="244">
        <v>11.5075</v>
      </c>
    </row>
    <row r="2395" spans="1:2" x14ac:dyDescent="0.25">
      <c r="A2395" s="198">
        <v>45091</v>
      </c>
      <c r="B2395" s="244">
        <v>11.4975</v>
      </c>
    </row>
    <row r="2396" spans="1:2" x14ac:dyDescent="0.25">
      <c r="A2396" s="198">
        <v>45092</v>
      </c>
      <c r="B2396" s="244">
        <v>11.499499999999999</v>
      </c>
    </row>
    <row r="2397" spans="1:2" x14ac:dyDescent="0.25">
      <c r="A2397" s="198">
        <v>45093</v>
      </c>
      <c r="B2397" s="244">
        <v>11.497999999999999</v>
      </c>
    </row>
    <row r="2398" spans="1:2" x14ac:dyDescent="0.25">
      <c r="A2398" s="198">
        <v>45096</v>
      </c>
      <c r="B2398" s="244">
        <v>11.5032</v>
      </c>
    </row>
    <row r="2399" spans="1:2" x14ac:dyDescent="0.25">
      <c r="A2399" s="198">
        <v>45097</v>
      </c>
      <c r="B2399" s="244">
        <v>11.499499999999999</v>
      </c>
    </row>
    <row r="2400" spans="1:2" x14ac:dyDescent="0.25">
      <c r="A2400" s="198">
        <v>45098</v>
      </c>
      <c r="B2400" s="244">
        <v>11.5067</v>
      </c>
    </row>
    <row r="2401" spans="1:2" x14ac:dyDescent="0.25">
      <c r="A2401" s="198">
        <v>45099</v>
      </c>
      <c r="B2401" s="244">
        <v>11.5045</v>
      </c>
    </row>
    <row r="2402" spans="1:2" x14ac:dyDescent="0.25">
      <c r="A2402" s="198">
        <v>45100</v>
      </c>
      <c r="B2402" s="244">
        <v>11.5</v>
      </c>
    </row>
    <row r="2403" spans="1:2" x14ac:dyDescent="0.25">
      <c r="A2403" s="198">
        <v>45103</v>
      </c>
      <c r="B2403" s="244">
        <v>11.507999999999999</v>
      </c>
    </row>
    <row r="2404" spans="1:2" x14ac:dyDescent="0.25">
      <c r="A2404" s="198">
        <v>45104</v>
      </c>
      <c r="B2404" s="244">
        <v>11.500500000000001</v>
      </c>
    </row>
    <row r="2405" spans="1:2" x14ac:dyDescent="0.25">
      <c r="A2405" s="198">
        <v>45105</v>
      </c>
      <c r="B2405" s="244">
        <v>11.4855</v>
      </c>
    </row>
    <row r="2406" spans="1:2" x14ac:dyDescent="0.25">
      <c r="A2406" s="198">
        <v>45106</v>
      </c>
      <c r="B2406" s="244">
        <v>11.4962</v>
      </c>
    </row>
    <row r="2407" spans="1:2" x14ac:dyDescent="0.25">
      <c r="A2407" s="198">
        <v>45107</v>
      </c>
      <c r="B2407" s="244">
        <v>11.4925</v>
      </c>
    </row>
    <row r="2408" spans="1:2" x14ac:dyDescent="0.25">
      <c r="A2408" s="198">
        <v>45110</v>
      </c>
      <c r="B2408" s="244">
        <v>11.497999999999999</v>
      </c>
    </row>
    <row r="2409" spans="1:2" x14ac:dyDescent="0.25">
      <c r="A2409" s="198">
        <v>45111</v>
      </c>
      <c r="B2409" s="244">
        <v>11.503</v>
      </c>
    </row>
    <row r="2410" spans="1:2" x14ac:dyDescent="0.25">
      <c r="A2410" s="198">
        <v>45112</v>
      </c>
      <c r="B2410" s="244">
        <v>11.503</v>
      </c>
    </row>
    <row r="2411" spans="1:2" x14ac:dyDescent="0.25">
      <c r="A2411" s="198">
        <v>45113</v>
      </c>
      <c r="B2411" s="244">
        <v>11.507999999999999</v>
      </c>
    </row>
    <row r="2412" spans="1:2" x14ac:dyDescent="0.25">
      <c r="A2412" s="198">
        <v>45114</v>
      </c>
      <c r="B2412" s="244">
        <v>11.5105</v>
      </c>
    </row>
    <row r="2413" spans="1:2" x14ac:dyDescent="0.25">
      <c r="A2413" s="198">
        <v>45117</v>
      </c>
      <c r="B2413" s="244">
        <v>11.5002</v>
      </c>
    </row>
    <row r="2414" spans="1:2" x14ac:dyDescent="0.25">
      <c r="A2414" s="198">
        <v>45118</v>
      </c>
      <c r="B2414" s="244">
        <v>11.490399999999999</v>
      </c>
    </row>
    <row r="2415" spans="1:2" x14ac:dyDescent="0.25">
      <c r="A2415" s="198">
        <v>45119</v>
      </c>
      <c r="B2415" s="244">
        <v>11.494999999999999</v>
      </c>
    </row>
    <row r="2416" spans="1:2" x14ac:dyDescent="0.25">
      <c r="A2416" s="198">
        <v>45120</v>
      </c>
      <c r="B2416" s="244">
        <v>11.4925</v>
      </c>
    </row>
    <row r="2417" spans="1:2" x14ac:dyDescent="0.25">
      <c r="A2417" s="198">
        <v>45121</v>
      </c>
      <c r="B2417" s="244">
        <v>11.49</v>
      </c>
    </row>
    <row r="2418" spans="1:2" x14ac:dyDescent="0.25">
      <c r="A2418" s="198">
        <v>45124</v>
      </c>
      <c r="B2418" s="244">
        <v>11.486499999999999</v>
      </c>
    </row>
    <row r="2419" spans="1:2" x14ac:dyDescent="0.25">
      <c r="A2419" s="198">
        <v>45125</v>
      </c>
      <c r="B2419" s="244">
        <v>11.49</v>
      </c>
    </row>
    <row r="2420" spans="1:2" x14ac:dyDescent="0.25">
      <c r="A2420" s="198">
        <v>45126</v>
      </c>
      <c r="B2420" s="244">
        <v>11.4915</v>
      </c>
    </row>
    <row r="2421" spans="1:2" x14ac:dyDescent="0.25">
      <c r="A2421" s="198">
        <v>45127</v>
      </c>
      <c r="B2421" s="244">
        <v>11.5</v>
      </c>
    </row>
    <row r="2422" spans="1:2" x14ac:dyDescent="0.25">
      <c r="A2422" s="198">
        <v>45128</v>
      </c>
      <c r="B2422" s="244">
        <v>11.505000000000001</v>
      </c>
    </row>
    <row r="2423" spans="1:2" x14ac:dyDescent="0.25">
      <c r="A2423" s="198">
        <v>45131</v>
      </c>
      <c r="B2423" s="244">
        <v>11.5037</v>
      </c>
    </row>
    <row r="2424" spans="1:2" x14ac:dyDescent="0.25">
      <c r="A2424" s="198">
        <v>45132</v>
      </c>
      <c r="B2424" s="244">
        <v>11.5084</v>
      </c>
    </row>
    <row r="2425" spans="1:2" x14ac:dyDescent="0.25">
      <c r="A2425" s="198">
        <v>45133</v>
      </c>
      <c r="B2425" s="244">
        <v>11.5054</v>
      </c>
    </row>
    <row r="2426" spans="1:2" x14ac:dyDescent="0.25">
      <c r="A2426" s="198">
        <v>45134</v>
      </c>
      <c r="B2426" s="244">
        <v>11.509499999999999</v>
      </c>
    </row>
    <row r="2427" spans="1:2" x14ac:dyDescent="0.25">
      <c r="A2427" s="198">
        <v>45135</v>
      </c>
      <c r="B2427" s="244">
        <v>11.513999999999999</v>
      </c>
    </row>
    <row r="2428" spans="1:2" x14ac:dyDescent="0.25">
      <c r="A2428" s="198">
        <v>45138</v>
      </c>
      <c r="B2428" s="244">
        <v>11.513500000000001</v>
      </c>
    </row>
    <row r="2429" spans="1:2" x14ac:dyDescent="0.25">
      <c r="A2429" s="198">
        <v>45139</v>
      </c>
      <c r="B2429" s="244">
        <v>11.507999999999999</v>
      </c>
    </row>
    <row r="2430" spans="1:2" x14ac:dyDescent="0.25">
      <c r="A2430" s="198">
        <v>45140</v>
      </c>
      <c r="B2430" s="244">
        <v>11.5105</v>
      </c>
    </row>
    <row r="2431" spans="1:2" x14ac:dyDescent="0.25">
      <c r="A2431" s="198">
        <v>45141</v>
      </c>
      <c r="B2431" s="244">
        <v>11.5053</v>
      </c>
    </row>
    <row r="2432" spans="1:2" x14ac:dyDescent="0.25">
      <c r="A2432" s="198">
        <v>45142</v>
      </c>
      <c r="B2432" s="244">
        <v>11.505000000000001</v>
      </c>
    </row>
    <row r="2433" spans="1:2" x14ac:dyDescent="0.25">
      <c r="A2433" s="198">
        <v>45145</v>
      </c>
      <c r="B2433" s="244">
        <v>11.5025</v>
      </c>
    </row>
    <row r="2434" spans="1:2" x14ac:dyDescent="0.25">
      <c r="A2434" s="198">
        <v>45146</v>
      </c>
      <c r="B2434" s="244">
        <v>11.5</v>
      </c>
    </row>
    <row r="2435" spans="1:2" x14ac:dyDescent="0.25">
      <c r="A2435" s="198">
        <v>45147</v>
      </c>
      <c r="B2435" s="244">
        <v>11.494</v>
      </c>
    </row>
    <row r="2436" spans="1:2" x14ac:dyDescent="0.25">
      <c r="A2436" s="198">
        <v>45148</v>
      </c>
      <c r="B2436" s="244">
        <v>11.500500000000001</v>
      </c>
    </row>
    <row r="2437" spans="1:2" x14ac:dyDescent="0.25">
      <c r="A2437" s="198">
        <v>45149</v>
      </c>
      <c r="B2437" s="244">
        <v>11.494</v>
      </c>
    </row>
    <row r="2438" spans="1:2" x14ac:dyDescent="0.25">
      <c r="A2438" s="198">
        <v>45152</v>
      </c>
      <c r="B2438" s="244">
        <v>11.4975</v>
      </c>
    </row>
    <row r="2439" spans="1:2" x14ac:dyDescent="0.25">
      <c r="A2439" s="198">
        <v>45153</v>
      </c>
      <c r="B2439" s="244">
        <v>11.484999999999999</v>
      </c>
    </row>
    <row r="2440" spans="1:2" ht="15" customHeight="1" x14ac:dyDescent="0.25">
      <c r="A2440" s="198">
        <v>45154</v>
      </c>
      <c r="B2440" s="244">
        <v>11.484999999999999</v>
      </c>
    </row>
    <row r="2441" spans="1:2" x14ac:dyDescent="0.25">
      <c r="A2441" s="198">
        <v>45155</v>
      </c>
      <c r="B2441" s="244">
        <v>11.5</v>
      </c>
    </row>
    <row r="2442" spans="1:2" x14ac:dyDescent="0.25">
      <c r="A2442" s="198">
        <v>45156</v>
      </c>
      <c r="B2442" s="244">
        <v>11.4925</v>
      </c>
    </row>
    <row r="2443" spans="1:2" x14ac:dyDescent="0.25">
      <c r="A2443" s="198">
        <v>45159</v>
      </c>
      <c r="B2443" s="244">
        <v>11.4925</v>
      </c>
    </row>
    <row r="2444" spans="1:2" x14ac:dyDescent="0.25">
      <c r="A2444" s="198">
        <v>45160</v>
      </c>
      <c r="B2444" s="244">
        <v>11.4975</v>
      </c>
    </row>
    <row r="2445" spans="1:2" x14ac:dyDescent="0.25">
      <c r="A2445" s="198">
        <v>45161</v>
      </c>
      <c r="B2445" s="244">
        <v>11.505000000000001</v>
      </c>
    </row>
    <row r="2446" spans="1:2" x14ac:dyDescent="0.25">
      <c r="A2446" s="198">
        <v>45162</v>
      </c>
      <c r="B2446" s="244">
        <v>11.4975</v>
      </c>
    </row>
    <row r="2447" spans="1:2" x14ac:dyDescent="0.25">
      <c r="A2447" s="198">
        <v>45163</v>
      </c>
      <c r="B2447" s="244">
        <v>11.494</v>
      </c>
    </row>
    <row r="2448" spans="1:2" x14ac:dyDescent="0.25">
      <c r="A2448" s="198">
        <v>45166</v>
      </c>
      <c r="B2448" s="244">
        <v>11.5062</v>
      </c>
    </row>
    <row r="2449" spans="1:2" x14ac:dyDescent="0.25">
      <c r="A2449" s="198">
        <v>45167</v>
      </c>
      <c r="B2449" s="244">
        <v>11.5055</v>
      </c>
    </row>
    <row r="2450" spans="1:2" x14ac:dyDescent="0.25">
      <c r="A2450" s="198">
        <v>45168</v>
      </c>
      <c r="B2450" s="244">
        <v>11.507899999999999</v>
      </c>
    </row>
    <row r="2451" spans="1:2" x14ac:dyDescent="0.25">
      <c r="A2451" s="198">
        <v>45169</v>
      </c>
      <c r="B2451" s="244">
        <v>11.509</v>
      </c>
    </row>
    <row r="2452" spans="1:2" x14ac:dyDescent="0.25">
      <c r="A2452" s="198">
        <v>45170</v>
      </c>
      <c r="B2452" s="244">
        <v>11.507</v>
      </c>
    </row>
    <row r="2453" spans="1:2" x14ac:dyDescent="0.25">
      <c r="A2453" s="198">
        <v>45173</v>
      </c>
      <c r="B2453" s="244">
        <v>11.506</v>
      </c>
    </row>
    <row r="2454" spans="1:2" x14ac:dyDescent="0.25">
      <c r="A2454" s="198">
        <v>45174</v>
      </c>
      <c r="B2454" s="244">
        <v>11.501899999999999</v>
      </c>
    </row>
    <row r="2455" spans="1:2" x14ac:dyDescent="0.25">
      <c r="A2455" s="198">
        <v>45175</v>
      </c>
      <c r="B2455" s="244">
        <v>11.497199999999999</v>
      </c>
    </row>
    <row r="2456" spans="1:2" x14ac:dyDescent="0.25">
      <c r="A2456" s="198">
        <v>45176</v>
      </c>
      <c r="B2456" s="244">
        <v>11.500999999999999</v>
      </c>
    </row>
    <row r="2457" spans="1:2" x14ac:dyDescent="0.25">
      <c r="A2457" s="198">
        <v>45177</v>
      </c>
      <c r="B2457" s="244">
        <v>11.5</v>
      </c>
    </row>
    <row r="2458" spans="1:2" x14ac:dyDescent="0.25">
      <c r="A2458" s="198">
        <v>45180</v>
      </c>
      <c r="B2458" s="244">
        <v>11.501200000000001</v>
      </c>
    </row>
    <row r="2459" spans="1:2" x14ac:dyDescent="0.25">
      <c r="A2459" s="198">
        <v>45181</v>
      </c>
      <c r="B2459" s="244">
        <v>11.5055</v>
      </c>
    </row>
    <row r="2460" spans="1:2" x14ac:dyDescent="0.25">
      <c r="A2460" s="198">
        <v>45182</v>
      </c>
      <c r="B2460" s="244">
        <v>11.500400000000001</v>
      </c>
    </row>
    <row r="2461" spans="1:2" x14ac:dyDescent="0.25">
      <c r="A2461" s="198">
        <v>45183</v>
      </c>
      <c r="B2461" s="244">
        <v>11.505000000000001</v>
      </c>
    </row>
    <row r="2462" spans="1:2" x14ac:dyDescent="0.25">
      <c r="A2462" s="198">
        <v>45184</v>
      </c>
      <c r="B2462" s="244">
        <v>11.5075</v>
      </c>
    </row>
    <row r="2463" spans="1:2" x14ac:dyDescent="0.25">
      <c r="A2463" s="198">
        <v>45187</v>
      </c>
      <c r="B2463" s="244">
        <v>11.506</v>
      </c>
    </row>
    <row r="2464" spans="1:2" x14ac:dyDescent="0.25">
      <c r="A2464" s="198">
        <v>45188</v>
      </c>
      <c r="B2464" s="244">
        <v>11.5055</v>
      </c>
    </row>
    <row r="2465" spans="1:2" x14ac:dyDescent="0.25">
      <c r="A2465" s="198">
        <v>45189</v>
      </c>
      <c r="B2465" s="244">
        <v>11.5075</v>
      </c>
    </row>
    <row r="2466" spans="1:2" x14ac:dyDescent="0.25">
      <c r="A2466" s="198">
        <v>45190</v>
      </c>
      <c r="B2466" s="244">
        <v>11.5037</v>
      </c>
    </row>
    <row r="2467" spans="1:2" x14ac:dyDescent="0.25">
      <c r="A2467" s="198">
        <v>45191</v>
      </c>
      <c r="B2467" s="244">
        <v>11.506500000000001</v>
      </c>
    </row>
    <row r="2468" spans="1:2" x14ac:dyDescent="0.25">
      <c r="A2468" s="198">
        <v>45194</v>
      </c>
      <c r="B2468" s="244">
        <v>11.5055</v>
      </c>
    </row>
    <row r="2469" spans="1:2" x14ac:dyDescent="0.25">
      <c r="A2469" s="198">
        <v>45195</v>
      </c>
      <c r="B2469" s="244">
        <v>11.499000000000001</v>
      </c>
    </row>
    <row r="2470" spans="1:2" x14ac:dyDescent="0.25">
      <c r="A2470" s="198">
        <v>45196</v>
      </c>
      <c r="B2470" s="244">
        <v>11.499499999999999</v>
      </c>
    </row>
    <row r="2471" spans="1:2" x14ac:dyDescent="0.25">
      <c r="A2471" s="198">
        <v>45197</v>
      </c>
      <c r="B2471" s="244">
        <v>11.504099999999999</v>
      </c>
    </row>
    <row r="2472" spans="1:2" x14ac:dyDescent="0.25">
      <c r="A2472" s="198">
        <v>45198</v>
      </c>
      <c r="B2472" s="244">
        <v>11.4983</v>
      </c>
    </row>
    <row r="2473" spans="1:2" x14ac:dyDescent="0.25">
      <c r="A2473" s="198">
        <v>45201</v>
      </c>
      <c r="B2473" s="244">
        <v>11.502800000000001</v>
      </c>
    </row>
    <row r="2474" spans="1:2" x14ac:dyDescent="0.25">
      <c r="A2474" s="198">
        <v>45202</v>
      </c>
      <c r="B2474" s="244">
        <v>11.5</v>
      </c>
    </row>
    <row r="2475" spans="1:2" x14ac:dyDescent="0.25">
      <c r="A2475" s="198">
        <v>45203</v>
      </c>
      <c r="B2475" s="244">
        <v>11.4985</v>
      </c>
    </row>
    <row r="2476" spans="1:2" x14ac:dyDescent="0.25">
      <c r="A2476" s="198">
        <v>45204</v>
      </c>
      <c r="B2476" s="244">
        <v>11.4983</v>
      </c>
    </row>
    <row r="2477" spans="1:2" x14ac:dyDescent="0.25">
      <c r="A2477" s="198">
        <v>45205</v>
      </c>
      <c r="B2477" s="244">
        <v>11.4979</v>
      </c>
    </row>
    <row r="2478" spans="1:2" x14ac:dyDescent="0.25">
      <c r="A2478" s="198">
        <v>45208</v>
      </c>
      <c r="B2478" s="244">
        <v>11.4977</v>
      </c>
    </row>
    <row r="2479" spans="1:2" x14ac:dyDescent="0.25">
      <c r="A2479" s="198">
        <v>45209</v>
      </c>
      <c r="B2479" s="244">
        <v>11.5</v>
      </c>
    </row>
    <row r="2480" spans="1:2" x14ac:dyDescent="0.25">
      <c r="A2480" s="198">
        <v>45210</v>
      </c>
      <c r="B2480" s="244">
        <v>11.500999999999999</v>
      </c>
    </row>
    <row r="2481" spans="1:2" x14ac:dyDescent="0.25">
      <c r="A2481" s="198">
        <v>45211</v>
      </c>
      <c r="B2481" s="244">
        <v>11.502000000000001</v>
      </c>
    </row>
    <row r="2482" spans="1:2" x14ac:dyDescent="0.25">
      <c r="A2482" s="198">
        <v>45212</v>
      </c>
      <c r="B2482" s="244">
        <v>11.5022</v>
      </c>
    </row>
    <row r="2483" spans="1:2" x14ac:dyDescent="0.25">
      <c r="A2483" s="198">
        <v>45215</v>
      </c>
      <c r="B2483" s="244">
        <v>11.5045</v>
      </c>
    </row>
    <row r="2484" spans="1:2" x14ac:dyDescent="0.25">
      <c r="A2484" s="198">
        <v>45216</v>
      </c>
      <c r="B2484" s="244">
        <v>11.506</v>
      </c>
    </row>
    <row r="2485" spans="1:2" x14ac:dyDescent="0.25">
      <c r="A2485" s="198">
        <v>45217</v>
      </c>
      <c r="B2485" s="244">
        <v>11.506500000000001</v>
      </c>
    </row>
    <row r="2486" spans="1:2" x14ac:dyDescent="0.25">
      <c r="A2486" s="198">
        <v>45218</v>
      </c>
      <c r="B2486" s="244">
        <v>11.507</v>
      </c>
    </row>
    <row r="2487" spans="1:2" x14ac:dyDescent="0.25">
      <c r="A2487" s="198">
        <v>45219</v>
      </c>
      <c r="B2487" s="244">
        <v>11.507</v>
      </c>
    </row>
    <row r="2488" spans="1:2" x14ac:dyDescent="0.25">
      <c r="A2488" s="198">
        <v>45222</v>
      </c>
      <c r="B2488" s="244">
        <v>11.507</v>
      </c>
    </row>
    <row r="2489" spans="1:2" x14ac:dyDescent="0.25">
      <c r="A2489" s="198">
        <v>45223</v>
      </c>
      <c r="B2489" s="244">
        <v>11.507</v>
      </c>
    </row>
    <row r="2490" spans="1:2" x14ac:dyDescent="0.25">
      <c r="A2490" s="198">
        <v>45224</v>
      </c>
      <c r="B2490" s="244">
        <v>11.507</v>
      </c>
    </row>
    <row r="2491" spans="1:2" x14ac:dyDescent="0.25">
      <c r="A2491" s="198">
        <v>45225</v>
      </c>
      <c r="B2491" s="244">
        <v>11.5047</v>
      </c>
    </row>
    <row r="2492" spans="1:2" x14ac:dyDescent="0.25">
      <c r="A2492" s="198">
        <v>45226</v>
      </c>
      <c r="B2492" s="244">
        <v>11.506</v>
      </c>
    </row>
    <row r="2493" spans="1:2" x14ac:dyDescent="0.25">
      <c r="A2493" s="198">
        <v>45229</v>
      </c>
      <c r="B2493" s="244">
        <v>11.506500000000001</v>
      </c>
    </row>
    <row r="2494" spans="1:2" x14ac:dyDescent="0.25">
      <c r="A2494" s="198">
        <v>45230</v>
      </c>
      <c r="B2494" s="244">
        <v>11.5045</v>
      </c>
    </row>
    <row r="2495" spans="1:2" x14ac:dyDescent="0.25">
      <c r="A2495" s="198">
        <v>45231</v>
      </c>
      <c r="B2495" s="244">
        <v>11.503500000000001</v>
      </c>
    </row>
    <row r="2496" spans="1:2" x14ac:dyDescent="0.25">
      <c r="A2496" s="198">
        <v>45233</v>
      </c>
      <c r="B2496" s="244">
        <v>11.5055</v>
      </c>
    </row>
    <row r="2497" spans="1:2" x14ac:dyDescent="0.25">
      <c r="A2497" s="198">
        <v>45236</v>
      </c>
      <c r="B2497" s="244">
        <v>11.506500000000001</v>
      </c>
    </row>
    <row r="2498" spans="1:2" x14ac:dyDescent="0.25">
      <c r="A2498" s="198">
        <v>45237</v>
      </c>
      <c r="B2498" s="244">
        <v>11.507</v>
      </c>
    </row>
    <row r="2499" spans="1:2" x14ac:dyDescent="0.25">
      <c r="A2499" s="198">
        <v>45238</v>
      </c>
      <c r="B2499" s="244">
        <v>11.507</v>
      </c>
    </row>
    <row r="2500" spans="1:2" x14ac:dyDescent="0.25">
      <c r="A2500" s="198">
        <v>45239</v>
      </c>
      <c r="B2500" s="244">
        <v>11.507</v>
      </c>
    </row>
    <row r="2501" spans="1:2" x14ac:dyDescent="0.25">
      <c r="A2501" s="198">
        <v>45240</v>
      </c>
      <c r="B2501" s="244">
        <v>11.507</v>
      </c>
    </row>
    <row r="2502" spans="1:2" x14ac:dyDescent="0.25">
      <c r="A2502" s="198">
        <v>45243</v>
      </c>
      <c r="B2502" s="244">
        <v>11.507</v>
      </c>
    </row>
    <row r="2503" spans="1:2" x14ac:dyDescent="0.25">
      <c r="A2503" s="198">
        <v>45244</v>
      </c>
      <c r="B2503" s="244">
        <v>11.506399999999999</v>
      </c>
    </row>
    <row r="2504" spans="1:2" x14ac:dyDescent="0.25">
      <c r="A2504" s="198">
        <v>45245</v>
      </c>
      <c r="B2504" s="244">
        <v>11.5055</v>
      </c>
    </row>
    <row r="2505" spans="1:2" x14ac:dyDescent="0.25">
      <c r="A2505" s="198">
        <v>45246</v>
      </c>
      <c r="B2505" s="244">
        <v>11.505100000000001</v>
      </c>
    </row>
    <row r="2506" spans="1:2" x14ac:dyDescent="0.25">
      <c r="A2506" s="198">
        <v>45247</v>
      </c>
      <c r="B2506" s="244">
        <v>11.505000000000001</v>
      </c>
    </row>
    <row r="2507" spans="1:2" x14ac:dyDescent="0.25">
      <c r="A2507" s="198">
        <v>45251</v>
      </c>
      <c r="B2507" s="244">
        <v>11.5037</v>
      </c>
    </row>
    <row r="2508" spans="1:2" x14ac:dyDescent="0.25">
      <c r="A2508" s="198">
        <v>45252</v>
      </c>
      <c r="B2508" s="244">
        <v>11.504</v>
      </c>
    </row>
    <row r="2509" spans="1:2" x14ac:dyDescent="0.25">
      <c r="A2509" s="198">
        <v>45253</v>
      </c>
      <c r="B2509" s="244">
        <v>11.504</v>
      </c>
    </row>
    <row r="2510" spans="1:2" x14ac:dyDescent="0.25">
      <c r="A2510" s="198">
        <v>45254</v>
      </c>
      <c r="B2510" s="244">
        <v>11.504</v>
      </c>
    </row>
    <row r="2511" spans="1:2" x14ac:dyDescent="0.25">
      <c r="A2511" s="198">
        <v>45257</v>
      </c>
      <c r="B2511" s="244">
        <v>11.504</v>
      </c>
    </row>
    <row r="2512" spans="1:2" x14ac:dyDescent="0.25">
      <c r="A2512" s="198">
        <v>45258</v>
      </c>
      <c r="B2512" s="244">
        <v>11.5032</v>
      </c>
    </row>
    <row r="2513" spans="1:2" x14ac:dyDescent="0.25">
      <c r="A2513" s="198">
        <v>45259</v>
      </c>
      <c r="B2513" s="244">
        <v>11.504</v>
      </c>
    </row>
    <row r="2514" spans="1:2" x14ac:dyDescent="0.25">
      <c r="A2514" s="198">
        <v>45260</v>
      </c>
      <c r="B2514" s="244">
        <v>11.504099999999999</v>
      </c>
    </row>
    <row r="2515" spans="1:2" x14ac:dyDescent="0.25">
      <c r="A2515" s="198">
        <v>45261</v>
      </c>
      <c r="B2515" s="244">
        <v>11.503299999999999</v>
      </c>
    </row>
    <row r="2516" spans="1:2" x14ac:dyDescent="0.25">
      <c r="A2516" s="198">
        <v>45264</v>
      </c>
      <c r="B2516" s="244">
        <v>11.504</v>
      </c>
    </row>
    <row r="2517" spans="1:2" x14ac:dyDescent="0.25">
      <c r="A2517" s="198">
        <v>45265</v>
      </c>
      <c r="B2517" s="244">
        <v>11.505100000000001</v>
      </c>
    </row>
    <row r="2518" spans="1:2" x14ac:dyDescent="0.25">
      <c r="A2518" s="198">
        <v>45266</v>
      </c>
      <c r="B2518" s="244">
        <v>11.5038</v>
      </c>
    </row>
    <row r="2519" spans="1:2" x14ac:dyDescent="0.25">
      <c r="A2519" s="198">
        <v>45267</v>
      </c>
      <c r="B2519" s="244">
        <v>11.504</v>
      </c>
    </row>
    <row r="2520" spans="1:2" x14ac:dyDescent="0.25">
      <c r="A2520" s="198">
        <v>45268</v>
      </c>
      <c r="B2520" s="244">
        <v>11.504</v>
      </c>
    </row>
    <row r="2521" spans="1:2" x14ac:dyDescent="0.25">
      <c r="A2521" s="198">
        <v>45271</v>
      </c>
      <c r="B2521" s="244">
        <v>11.506</v>
      </c>
    </row>
    <row r="2522" spans="1:2" x14ac:dyDescent="0.25">
      <c r="A2522" s="198">
        <v>45273</v>
      </c>
      <c r="B2522" s="244">
        <v>11.5075</v>
      </c>
    </row>
    <row r="2523" spans="1:2" x14ac:dyDescent="0.25">
      <c r="A2523" s="198">
        <v>45274</v>
      </c>
      <c r="B2523" s="244">
        <v>11.506</v>
      </c>
    </row>
    <row r="2524" spans="1:2" x14ac:dyDescent="0.25">
      <c r="A2524" s="198">
        <v>45275</v>
      </c>
      <c r="B2524" s="244">
        <v>11.504300000000001</v>
      </c>
    </row>
    <row r="2525" spans="1:2" x14ac:dyDescent="0.25">
      <c r="A2525" s="198">
        <v>45278</v>
      </c>
      <c r="B2525" s="244">
        <v>11.504</v>
      </c>
    </row>
    <row r="2526" spans="1:2" x14ac:dyDescent="0.25">
      <c r="A2526" s="198">
        <v>45279</v>
      </c>
      <c r="B2526" s="244">
        <v>11.504</v>
      </c>
    </row>
    <row r="2527" spans="1:2" x14ac:dyDescent="0.25">
      <c r="A2527" s="198">
        <v>45280</v>
      </c>
      <c r="B2527" s="244">
        <v>11.5025</v>
      </c>
    </row>
    <row r="2528" spans="1:2" x14ac:dyDescent="0.25">
      <c r="A2528" s="198">
        <v>45281</v>
      </c>
      <c r="B2528" s="244">
        <v>11.5025</v>
      </c>
    </row>
    <row r="2529" spans="1:2" x14ac:dyDescent="0.25">
      <c r="A2529" s="198">
        <v>45282</v>
      </c>
      <c r="B2529" s="244">
        <v>11.5025</v>
      </c>
    </row>
    <row r="2530" spans="1:2" x14ac:dyDescent="0.25">
      <c r="A2530" s="198">
        <v>45286</v>
      </c>
      <c r="B2530" s="244">
        <v>11.5037</v>
      </c>
    </row>
    <row r="2531" spans="1:2" x14ac:dyDescent="0.25">
      <c r="A2531" s="198">
        <v>45287</v>
      </c>
      <c r="B2531" s="244">
        <v>11.505000000000001</v>
      </c>
    </row>
    <row r="2532" spans="1:2" x14ac:dyDescent="0.25">
      <c r="A2532" s="198">
        <v>45288</v>
      </c>
      <c r="B2532" s="244">
        <v>11.504</v>
      </c>
    </row>
    <row r="2533" spans="1:2" x14ac:dyDescent="0.25">
      <c r="A2533" s="198">
        <v>45289</v>
      </c>
      <c r="B2533" s="244">
        <v>11.503500000000001</v>
      </c>
    </row>
    <row r="2534" spans="1:2" x14ac:dyDescent="0.25">
      <c r="A2534" s="198">
        <v>45293</v>
      </c>
      <c r="B2534" s="244">
        <v>11.5025</v>
      </c>
    </row>
    <row r="2535" spans="1:2" x14ac:dyDescent="0.25">
      <c r="A2535" s="198">
        <v>45294</v>
      </c>
      <c r="B2535" s="244">
        <v>11.5022</v>
      </c>
    </row>
    <row r="2536" spans="1:2" x14ac:dyDescent="0.25">
      <c r="A2536" s="198">
        <v>45295</v>
      </c>
      <c r="B2536" s="244">
        <v>11.5025</v>
      </c>
    </row>
    <row r="2537" spans="1:2" x14ac:dyDescent="0.25">
      <c r="A2537" s="198">
        <v>45296</v>
      </c>
      <c r="B2537" s="244">
        <v>11.5025</v>
      </c>
    </row>
    <row r="2538" spans="1:2" x14ac:dyDescent="0.25">
      <c r="A2538" s="198">
        <v>45299</v>
      </c>
      <c r="B2538" s="244">
        <v>11.5025</v>
      </c>
    </row>
    <row r="2539" spans="1:2" x14ac:dyDescent="0.25">
      <c r="A2539" s="198">
        <v>45300</v>
      </c>
      <c r="B2539" s="244">
        <v>11.5025</v>
      </c>
    </row>
    <row r="2540" spans="1:2" x14ac:dyDescent="0.25">
      <c r="A2540" s="198">
        <v>45301</v>
      </c>
      <c r="B2540" s="244">
        <v>11.5025</v>
      </c>
    </row>
    <row r="2541" spans="1:2" x14ac:dyDescent="0.25">
      <c r="A2541" s="198">
        <v>45302</v>
      </c>
      <c r="B2541" s="244">
        <v>11.5025</v>
      </c>
    </row>
    <row r="2542" spans="1:2" x14ac:dyDescent="0.25">
      <c r="A2542" s="198">
        <v>45303</v>
      </c>
      <c r="B2542" s="244">
        <v>11.5025</v>
      </c>
    </row>
    <row r="2543" spans="1:2" x14ac:dyDescent="0.25">
      <c r="A2543" s="198">
        <v>45306</v>
      </c>
      <c r="B2543" s="244">
        <v>11.4975</v>
      </c>
    </row>
    <row r="2544" spans="1:2" x14ac:dyDescent="0.25">
      <c r="A2544" s="198">
        <v>45307</v>
      </c>
      <c r="B2544" s="244">
        <v>11.5002</v>
      </c>
    </row>
    <row r="2545" spans="1:2" x14ac:dyDescent="0.25">
      <c r="A2545" s="198">
        <v>45308</v>
      </c>
      <c r="B2545" s="244">
        <v>11.498799999999999</v>
      </c>
    </row>
    <row r="2546" spans="1:2" x14ac:dyDescent="0.25">
      <c r="A2546" s="198">
        <v>45309</v>
      </c>
      <c r="B2546" s="244">
        <v>11.5006</v>
      </c>
    </row>
    <row r="2547" spans="1:2" x14ac:dyDescent="0.25">
      <c r="A2547" s="198">
        <v>45310</v>
      </c>
      <c r="B2547" s="244">
        <v>11.500999999999999</v>
      </c>
    </row>
    <row r="2548" spans="1:2" x14ac:dyDescent="0.25">
      <c r="A2548" s="198">
        <v>45313</v>
      </c>
      <c r="B2548" s="244">
        <v>11.5017</v>
      </c>
    </row>
    <row r="2549" spans="1:2" x14ac:dyDescent="0.25">
      <c r="A2549" s="198">
        <v>45314</v>
      </c>
      <c r="B2549" s="244">
        <v>11.4985</v>
      </c>
    </row>
    <row r="2550" spans="1:2" x14ac:dyDescent="0.25">
      <c r="A2550" s="198">
        <v>45315</v>
      </c>
      <c r="B2550" s="244">
        <v>11.5002</v>
      </c>
    </row>
    <row r="2551" spans="1:2" x14ac:dyDescent="0.25">
      <c r="A2551" s="198">
        <v>45316</v>
      </c>
      <c r="B2551" s="244">
        <v>11.5015</v>
      </c>
    </row>
    <row r="2552" spans="1:2" x14ac:dyDescent="0.25">
      <c r="A2552" s="198">
        <v>45317</v>
      </c>
      <c r="B2552" s="244">
        <v>11.499499999999999</v>
      </c>
    </row>
    <row r="2553" spans="1:2" x14ac:dyDescent="0.25">
      <c r="A2553" s="198">
        <v>45320</v>
      </c>
      <c r="B2553" s="244">
        <v>11.4985</v>
      </c>
    </row>
    <row r="2554" spans="1:2" x14ac:dyDescent="0.25">
      <c r="A2554" s="198">
        <v>45321</v>
      </c>
      <c r="B2554" s="244">
        <v>11.499000000000001</v>
      </c>
    </row>
    <row r="2555" spans="1:2" x14ac:dyDescent="0.25">
      <c r="A2555" s="198">
        <v>45322</v>
      </c>
      <c r="B2555" s="244">
        <v>11.5</v>
      </c>
    </row>
    <row r="2556" spans="1:2" x14ac:dyDescent="0.25">
      <c r="A2556" s="198">
        <v>45323</v>
      </c>
      <c r="B2556" s="244">
        <v>11.501200000000001</v>
      </c>
    </row>
    <row r="2557" spans="1:2" x14ac:dyDescent="0.25">
      <c r="A2557" s="198">
        <v>45324</v>
      </c>
      <c r="B2557" s="244">
        <v>11.4993</v>
      </c>
    </row>
    <row r="2558" spans="1:2" x14ac:dyDescent="0.25">
      <c r="A2558" s="198">
        <v>45328</v>
      </c>
      <c r="B2558" s="244">
        <v>11.4984</v>
      </c>
    </row>
    <row r="2559" spans="1:2" x14ac:dyDescent="0.25">
      <c r="A2559" s="198">
        <v>45329</v>
      </c>
      <c r="B2559" s="244">
        <v>11.497999999999999</v>
      </c>
    </row>
    <row r="2560" spans="1:2" x14ac:dyDescent="0.25">
      <c r="A2560" s="198">
        <v>45330</v>
      </c>
      <c r="B2560" s="244">
        <v>11.499000000000001</v>
      </c>
    </row>
    <row r="2561" spans="1:2" x14ac:dyDescent="0.25">
      <c r="A2561" s="198">
        <v>45331</v>
      </c>
      <c r="B2561" s="244">
        <v>11.498200000000001</v>
      </c>
    </row>
    <row r="2562" spans="1:2" x14ac:dyDescent="0.25">
      <c r="A2562" s="198">
        <v>45334</v>
      </c>
      <c r="B2562" s="244">
        <v>11.499499999999999</v>
      </c>
    </row>
    <row r="2563" spans="1:2" x14ac:dyDescent="0.25">
      <c r="A2563" s="198">
        <v>45335</v>
      </c>
      <c r="B2563" s="244">
        <v>11.5007</v>
      </c>
    </row>
    <row r="2564" spans="1:2" x14ac:dyDescent="0.25">
      <c r="A2564" s="198">
        <v>45336</v>
      </c>
      <c r="B2564" s="244">
        <v>11.496600000000001</v>
      </c>
    </row>
    <row r="2565" spans="1:2" x14ac:dyDescent="0.25">
      <c r="A2565" s="198">
        <v>45337</v>
      </c>
      <c r="B2565" s="244">
        <v>11.4983</v>
      </c>
    </row>
    <row r="2566" spans="1:2" x14ac:dyDescent="0.25">
      <c r="A2566" s="198">
        <v>45338</v>
      </c>
      <c r="B2566" s="244">
        <v>11.4954</v>
      </c>
    </row>
    <row r="2567" spans="1:2" x14ac:dyDescent="0.25">
      <c r="A2567" s="198">
        <v>45341</v>
      </c>
      <c r="B2567" s="244">
        <v>11.494999999999999</v>
      </c>
    </row>
    <row r="2568" spans="1:2" x14ac:dyDescent="0.25">
      <c r="A2568" s="198">
        <v>45342</v>
      </c>
      <c r="B2568" s="244">
        <v>11.494999999999999</v>
      </c>
    </row>
    <row r="2569" spans="1:2" x14ac:dyDescent="0.25">
      <c r="A2569" s="198">
        <v>45343</v>
      </c>
      <c r="B2569" s="244">
        <v>11.4925</v>
      </c>
    </row>
    <row r="2570" spans="1:2" x14ac:dyDescent="0.25">
      <c r="A2570" s="198">
        <v>45344</v>
      </c>
      <c r="B2570" s="244">
        <v>11.4962</v>
      </c>
    </row>
    <row r="2571" spans="1:2" x14ac:dyDescent="0.25">
      <c r="A2571" s="198">
        <v>45345</v>
      </c>
      <c r="B2571" s="244">
        <v>11.4925</v>
      </c>
    </row>
    <row r="2572" spans="1:2" x14ac:dyDescent="0.25">
      <c r="A2572" s="198">
        <v>45348</v>
      </c>
      <c r="B2572" s="244">
        <v>11.4925</v>
      </c>
    </row>
    <row r="2573" spans="1:2" x14ac:dyDescent="0.25">
      <c r="A2573" s="198">
        <v>45349</v>
      </c>
      <c r="B2573" s="244">
        <v>11.489100000000001</v>
      </c>
    </row>
    <row r="2574" spans="1:2" x14ac:dyDescent="0.25">
      <c r="A2574" s="198">
        <v>45350</v>
      </c>
      <c r="B2574" s="244">
        <v>11.49</v>
      </c>
    </row>
    <row r="2575" spans="1:2" x14ac:dyDescent="0.25">
      <c r="A2575" s="198">
        <v>45351</v>
      </c>
      <c r="B2575" s="244">
        <v>11.487500000000001</v>
      </c>
    </row>
    <row r="2576" spans="1:2" x14ac:dyDescent="0.25">
      <c r="A2576" s="198">
        <v>45352</v>
      </c>
      <c r="B2576" s="244">
        <v>11.4937</v>
      </c>
    </row>
    <row r="2577" spans="1:2" x14ac:dyDescent="0.25">
      <c r="A2577" s="198">
        <v>45355</v>
      </c>
      <c r="B2577" s="244">
        <v>11.484999999999999</v>
      </c>
    </row>
    <row r="2578" spans="1:2" x14ac:dyDescent="0.25">
      <c r="A2578" s="198">
        <v>45356</v>
      </c>
      <c r="B2578" s="244">
        <v>11.477499999999999</v>
      </c>
    </row>
    <row r="2579" spans="1:2" x14ac:dyDescent="0.25">
      <c r="A2579" s="198">
        <v>45357</v>
      </c>
      <c r="B2579" s="244">
        <v>11.484999999999999</v>
      </c>
    </row>
    <row r="2580" spans="1:2" x14ac:dyDescent="0.25">
      <c r="A2580" s="198">
        <v>45358</v>
      </c>
      <c r="B2580" s="244">
        <v>11.484999999999999</v>
      </c>
    </row>
    <row r="2581" spans="1:2" x14ac:dyDescent="0.25">
      <c r="A2581" s="198">
        <v>45359</v>
      </c>
      <c r="B2581" s="244">
        <v>11.485900000000001</v>
      </c>
    </row>
    <row r="2582" spans="1:2" x14ac:dyDescent="0.25">
      <c r="A2582" s="198">
        <v>45362</v>
      </c>
      <c r="B2582" s="244">
        <v>11.4825</v>
      </c>
    </row>
    <row r="2583" spans="1:2" x14ac:dyDescent="0.25">
      <c r="A2583" s="198">
        <v>45363</v>
      </c>
      <c r="B2583" s="244">
        <v>11.4724</v>
      </c>
    </row>
    <row r="2584" spans="1:2" x14ac:dyDescent="0.25">
      <c r="A2584" s="198">
        <v>45364</v>
      </c>
      <c r="B2584" s="244">
        <v>11.4748</v>
      </c>
    </row>
    <row r="2585" spans="1:2" x14ac:dyDescent="0.25">
      <c r="A2585" s="198">
        <v>45365</v>
      </c>
      <c r="B2585" s="244">
        <v>11.47</v>
      </c>
    </row>
    <row r="2586" spans="1:2" x14ac:dyDescent="0.25">
      <c r="A2586" s="198">
        <v>45366</v>
      </c>
      <c r="B2586" s="244">
        <v>11.475</v>
      </c>
    </row>
    <row r="2587" spans="1:2" x14ac:dyDescent="0.25">
      <c r="A2587" s="198">
        <v>45370</v>
      </c>
      <c r="B2587" s="244">
        <v>11.477499999999999</v>
      </c>
    </row>
    <row r="2588" spans="1:2" x14ac:dyDescent="0.25">
      <c r="A2588" s="198">
        <v>45371</v>
      </c>
      <c r="B2588" s="244">
        <v>11.477499999999999</v>
      </c>
    </row>
    <row r="2589" spans="1:2" x14ac:dyDescent="0.25">
      <c r="A2589" s="198">
        <v>45372</v>
      </c>
      <c r="B2589" s="244">
        <v>11.48</v>
      </c>
    </row>
    <row r="2590" spans="1:2" x14ac:dyDescent="0.25">
      <c r="A2590" s="198">
        <v>45373</v>
      </c>
      <c r="B2590" s="244">
        <v>11.479900000000001</v>
      </c>
    </row>
    <row r="2591" spans="1:2" x14ac:dyDescent="0.25">
      <c r="A2591" s="198">
        <v>45376</v>
      </c>
      <c r="B2591" s="244">
        <v>11.244999999999999</v>
      </c>
    </row>
    <row r="2592" spans="1:2" x14ac:dyDescent="0.25">
      <c r="A2592" s="198">
        <v>45377</v>
      </c>
      <c r="B2592" s="244">
        <v>11.247</v>
      </c>
    </row>
    <row r="2593" spans="1:2" x14ac:dyDescent="0.25">
      <c r="A2593" s="198">
        <v>45378</v>
      </c>
      <c r="B2593" s="244">
        <v>11.2475</v>
      </c>
    </row>
    <row r="2594" spans="1:2" x14ac:dyDescent="0.25">
      <c r="A2594" s="198">
        <v>45383</v>
      </c>
      <c r="B2594" s="244">
        <v>11.2485</v>
      </c>
    </row>
    <row r="2595" spans="1:2" x14ac:dyDescent="0.25">
      <c r="A2595" s="198">
        <v>45384</v>
      </c>
      <c r="B2595" s="244">
        <v>11.249000000000001</v>
      </c>
    </row>
    <row r="2596" spans="1:2" x14ac:dyDescent="0.25">
      <c r="A2596" s="198">
        <v>45385</v>
      </c>
      <c r="B2596" s="244">
        <v>11.2475</v>
      </c>
    </row>
    <row r="2597" spans="1:2" x14ac:dyDescent="0.25">
      <c r="A2597" s="198">
        <v>45386</v>
      </c>
      <c r="B2597" s="244">
        <v>11.2475</v>
      </c>
    </row>
    <row r="2598" spans="1:2" x14ac:dyDescent="0.25">
      <c r="A2598" s="198">
        <v>45387</v>
      </c>
      <c r="B2598" s="244">
        <v>11.2485</v>
      </c>
    </row>
    <row r="2599" spans="1:2" x14ac:dyDescent="0.25">
      <c r="A2599" s="198">
        <v>45390</v>
      </c>
      <c r="B2599" s="244">
        <v>11.2485</v>
      </c>
    </row>
    <row r="2600" spans="1:2" x14ac:dyDescent="0.25">
      <c r="A2600" s="198">
        <v>45391</v>
      </c>
      <c r="B2600" s="244">
        <v>11.249000000000001</v>
      </c>
    </row>
    <row r="2601" spans="1:2" x14ac:dyDescent="0.25">
      <c r="A2601" s="198">
        <v>45392</v>
      </c>
      <c r="B2601" s="244">
        <v>11.2492</v>
      </c>
    </row>
    <row r="2602" spans="1:2" x14ac:dyDescent="0.25">
      <c r="A2602" s="198">
        <v>45393</v>
      </c>
      <c r="B2602" s="244">
        <v>11.249000000000001</v>
      </c>
    </row>
    <row r="2603" spans="1:2" x14ac:dyDescent="0.25">
      <c r="A2603" s="198">
        <v>45394</v>
      </c>
      <c r="B2603" s="244">
        <v>11.2502</v>
      </c>
    </row>
    <row r="2604" spans="1:2" x14ac:dyDescent="0.25">
      <c r="A2604" s="198">
        <v>45397</v>
      </c>
      <c r="B2604" s="244">
        <v>11.248799999999999</v>
      </c>
    </row>
    <row r="2605" spans="1:2" x14ac:dyDescent="0.25">
      <c r="A2605" s="198">
        <v>45398</v>
      </c>
      <c r="B2605" s="244">
        <v>11.2407</v>
      </c>
    </row>
    <row r="2606" spans="1:2" x14ac:dyDescent="0.25">
      <c r="A2606" s="198">
        <v>45399</v>
      </c>
      <c r="B2606" s="244">
        <v>11.2445</v>
      </c>
    </row>
    <row r="2607" spans="1:2" x14ac:dyDescent="0.25">
      <c r="A2607" s="198">
        <v>45400</v>
      </c>
      <c r="B2607" s="244">
        <v>11.244999999999999</v>
      </c>
    </row>
    <row r="2608" spans="1:2" x14ac:dyDescent="0.25">
      <c r="A2608" s="198">
        <v>45401</v>
      </c>
      <c r="B2608" s="244">
        <v>11.246499999999999</v>
      </c>
    </row>
    <row r="2609" spans="1:2" x14ac:dyDescent="0.25">
      <c r="A2609" s="198">
        <v>45404</v>
      </c>
      <c r="B2609" s="244">
        <v>11.244999999999999</v>
      </c>
    </row>
    <row r="2610" spans="1:2" x14ac:dyDescent="0.25">
      <c r="A2610" s="198">
        <v>45405</v>
      </c>
      <c r="B2610" s="244">
        <v>11.244999999999999</v>
      </c>
    </row>
    <row r="2611" spans="1:2" x14ac:dyDescent="0.25">
      <c r="A2611" s="198">
        <v>45406</v>
      </c>
      <c r="B2611" s="244">
        <v>11.244999999999999</v>
      </c>
    </row>
    <row r="2612" spans="1:2" x14ac:dyDescent="0.25">
      <c r="A2612" s="198">
        <v>45407</v>
      </c>
      <c r="B2612" s="244">
        <v>11.244999999999999</v>
      </c>
    </row>
    <row r="2613" spans="1:2" x14ac:dyDescent="0.25">
      <c r="A2613" s="198">
        <v>45408</v>
      </c>
      <c r="B2613" s="244">
        <v>11.244999999999999</v>
      </c>
    </row>
    <row r="2614" spans="1:2" x14ac:dyDescent="0.25">
      <c r="A2614" s="198">
        <v>45411</v>
      </c>
      <c r="B2614" s="244">
        <v>11.244999999999999</v>
      </c>
    </row>
    <row r="2615" spans="1:2" x14ac:dyDescent="0.25">
      <c r="A2615" s="198">
        <v>45412</v>
      </c>
      <c r="B2615" s="244">
        <v>11.244999999999999</v>
      </c>
    </row>
    <row r="2616" spans="1:2" x14ac:dyDescent="0.25">
      <c r="A2616" s="198">
        <v>45414</v>
      </c>
      <c r="B2616" s="244">
        <v>11.24</v>
      </c>
    </row>
    <row r="2617" spans="1:2" x14ac:dyDescent="0.25">
      <c r="A2617" s="198">
        <v>45415</v>
      </c>
      <c r="B2617" s="244">
        <v>11.24</v>
      </c>
    </row>
    <row r="2618" spans="1:2" x14ac:dyDescent="0.25">
      <c r="A2618" s="198">
        <v>45418</v>
      </c>
      <c r="B2618" s="244">
        <v>11.236599999999999</v>
      </c>
    </row>
    <row r="2619" spans="1:2" x14ac:dyDescent="0.25">
      <c r="A2619" s="198">
        <v>45419</v>
      </c>
      <c r="B2619" s="244">
        <v>11.24</v>
      </c>
    </row>
    <row r="2620" spans="1:2" x14ac:dyDescent="0.25">
      <c r="A2620" s="198">
        <v>45420</v>
      </c>
      <c r="B2620" s="244">
        <v>11.24</v>
      </c>
    </row>
    <row r="2621" spans="1:2" x14ac:dyDescent="0.25">
      <c r="A2621" s="198">
        <v>45421</v>
      </c>
      <c r="B2621" s="244">
        <v>11.24</v>
      </c>
    </row>
    <row r="2622" spans="1:2" x14ac:dyDescent="0.25">
      <c r="A2622" s="198">
        <v>45422</v>
      </c>
      <c r="B2622" s="244">
        <v>11.24</v>
      </c>
    </row>
    <row r="2623" spans="1:2" x14ac:dyDescent="0.25">
      <c r="A2623" s="198">
        <v>45425</v>
      </c>
      <c r="B2623" s="244">
        <v>11.24</v>
      </c>
    </row>
    <row r="2624" spans="1:2" x14ac:dyDescent="0.25">
      <c r="A2624" s="198">
        <v>45426</v>
      </c>
      <c r="B2624" s="244">
        <v>11.24</v>
      </c>
    </row>
    <row r="2625" spans="1:2" x14ac:dyDescent="0.25">
      <c r="A2625" s="198">
        <v>45427</v>
      </c>
      <c r="B2625" s="244">
        <v>11.24</v>
      </c>
    </row>
    <row r="2626" spans="1:2" x14ac:dyDescent="0.25">
      <c r="A2626" s="198">
        <v>45428</v>
      </c>
      <c r="B2626" s="244">
        <v>11.2399</v>
      </c>
    </row>
    <row r="2627" spans="1:2" x14ac:dyDescent="0.25">
      <c r="A2627" s="198">
        <v>45429</v>
      </c>
      <c r="B2627" s="244">
        <v>11.234999999999999</v>
      </c>
    </row>
    <row r="2628" spans="1:2" x14ac:dyDescent="0.25">
      <c r="A2628" s="198">
        <v>45432</v>
      </c>
      <c r="B2628" s="244">
        <v>11.2399</v>
      </c>
    </row>
    <row r="2629" spans="1:2" x14ac:dyDescent="0.25">
      <c r="A2629" s="198">
        <v>45433</v>
      </c>
      <c r="B2629" s="244">
        <v>11.234999999999999</v>
      </c>
    </row>
    <row r="2630" spans="1:2" x14ac:dyDescent="0.25">
      <c r="A2630" s="198">
        <v>45434</v>
      </c>
      <c r="B2630" s="244">
        <v>11.234999999999999</v>
      </c>
    </row>
    <row r="2631" spans="1:2" x14ac:dyDescent="0.25">
      <c r="A2631" s="198">
        <v>45435</v>
      </c>
      <c r="B2631" s="244">
        <v>11.234999999999999</v>
      </c>
    </row>
    <row r="2632" spans="1:2" x14ac:dyDescent="0.25">
      <c r="A2632" s="198">
        <v>45436</v>
      </c>
      <c r="B2632" s="244">
        <v>11.2415</v>
      </c>
    </row>
    <row r="2633" spans="1:2" x14ac:dyDescent="0.25">
      <c r="A2633" s="198">
        <v>45439</v>
      </c>
      <c r="B2633" s="244">
        <v>11.234999999999999</v>
      </c>
    </row>
    <row r="2634" spans="1:2" x14ac:dyDescent="0.25">
      <c r="A2634" s="198">
        <v>45440</v>
      </c>
      <c r="B2634" s="244">
        <v>11.2425</v>
      </c>
    </row>
    <row r="2635" spans="1:2" x14ac:dyDescent="0.25">
      <c r="A2635" s="198">
        <v>45441</v>
      </c>
      <c r="B2635" s="244">
        <v>11.244999999999999</v>
      </c>
    </row>
    <row r="2636" spans="1:2" x14ac:dyDescent="0.25">
      <c r="A2636" s="198">
        <v>45442</v>
      </c>
      <c r="B2636" s="244">
        <v>11.246499999999999</v>
      </c>
    </row>
    <row r="2637" spans="1:2" x14ac:dyDescent="0.25">
      <c r="A2637" s="198">
        <v>45443</v>
      </c>
      <c r="B2637" s="244">
        <v>11.244999999999999</v>
      </c>
    </row>
    <row r="2638" spans="1:2" x14ac:dyDescent="0.25">
      <c r="A2638" s="198">
        <v>45446</v>
      </c>
      <c r="B2638" s="244">
        <v>11.246499999999999</v>
      </c>
    </row>
    <row r="2639" spans="1:2" x14ac:dyDescent="0.25">
      <c r="A2639" s="198">
        <v>45447</v>
      </c>
      <c r="B2639" s="244">
        <v>11.244999999999999</v>
      </c>
    </row>
    <row r="2640" spans="1:2" x14ac:dyDescent="0.25">
      <c r="A2640" s="198">
        <v>45448</v>
      </c>
      <c r="B2640" s="244">
        <v>11.244999999999999</v>
      </c>
    </row>
    <row r="2641" spans="1:2" x14ac:dyDescent="0.25">
      <c r="A2641" s="198">
        <v>45449</v>
      </c>
      <c r="B2641" s="244">
        <v>11.244999999999999</v>
      </c>
    </row>
    <row r="2642" spans="1:2" x14ac:dyDescent="0.25">
      <c r="A2642" s="198">
        <v>45450</v>
      </c>
      <c r="B2642" s="244">
        <v>11.244999999999999</v>
      </c>
    </row>
    <row r="2643" spans="1:2" x14ac:dyDescent="0.25">
      <c r="A2643" s="198">
        <v>45453</v>
      </c>
      <c r="B2643" s="244">
        <v>11.247</v>
      </c>
    </row>
    <row r="2644" spans="1:2" x14ac:dyDescent="0.25">
      <c r="A2644" s="198">
        <v>45454</v>
      </c>
      <c r="B2644" s="244">
        <v>11.244999999999999</v>
      </c>
    </row>
    <row r="2645" spans="1:2" x14ac:dyDescent="0.25">
      <c r="A2645" s="198">
        <v>45455</v>
      </c>
      <c r="B2645" s="244">
        <v>11.244999999999999</v>
      </c>
    </row>
    <row r="2646" spans="1:2" x14ac:dyDescent="0.25">
      <c r="A2646" s="198">
        <v>45456</v>
      </c>
      <c r="B2646" s="244">
        <v>11.244999999999999</v>
      </c>
    </row>
    <row r="2647" spans="1:2" x14ac:dyDescent="0.25">
      <c r="A2647" s="198">
        <v>45457</v>
      </c>
      <c r="B2647" s="244">
        <v>11.244999999999999</v>
      </c>
    </row>
    <row r="2648" spans="1:2" x14ac:dyDescent="0.25">
      <c r="A2648" s="198">
        <v>45460</v>
      </c>
      <c r="B2648" s="244">
        <v>11.2475</v>
      </c>
    </row>
    <row r="2649" spans="1:2" x14ac:dyDescent="0.25">
      <c r="A2649" s="198">
        <v>45461</v>
      </c>
      <c r="B2649" s="244">
        <v>11.244999999999999</v>
      </c>
    </row>
    <row r="2650" spans="1:2" x14ac:dyDescent="0.25">
      <c r="A2650" s="198">
        <v>45462</v>
      </c>
      <c r="B2650" s="244">
        <v>11.243</v>
      </c>
    </row>
    <row r="2651" spans="1:2" x14ac:dyDescent="0.25">
      <c r="A2651" s="198">
        <v>45463</v>
      </c>
      <c r="B2651" s="244">
        <v>11.244999999999999</v>
      </c>
    </row>
    <row r="2652" spans="1:2" x14ac:dyDescent="0.25">
      <c r="A2652" s="198">
        <v>45464</v>
      </c>
      <c r="B2652" s="244">
        <v>11.244999999999999</v>
      </c>
    </row>
    <row r="2653" spans="1:2" x14ac:dyDescent="0.25">
      <c r="A2653" s="198">
        <v>45467</v>
      </c>
      <c r="B2653" s="244">
        <v>11.244999999999999</v>
      </c>
    </row>
    <row r="2654" spans="1:2" x14ac:dyDescent="0.25">
      <c r="A2654" s="198">
        <v>45468</v>
      </c>
      <c r="B2654" s="244">
        <v>11.244999999999999</v>
      </c>
    </row>
    <row r="2655" spans="1:2" x14ac:dyDescent="0.25">
      <c r="A2655" s="198">
        <v>45469</v>
      </c>
      <c r="B2655" s="244">
        <v>11.244999999999999</v>
      </c>
    </row>
    <row r="2656" spans="1:2" x14ac:dyDescent="0.25">
      <c r="A2656" s="198">
        <v>45470</v>
      </c>
      <c r="B2656" s="244">
        <v>11.244899999999999</v>
      </c>
    </row>
    <row r="2657" spans="1:2" x14ac:dyDescent="0.25">
      <c r="A2657" s="198">
        <v>45471</v>
      </c>
      <c r="B2657" s="244">
        <v>11.24</v>
      </c>
    </row>
    <row r="2658" spans="1:2" x14ac:dyDescent="0.25">
      <c r="A2658" s="198">
        <v>45474</v>
      </c>
      <c r="B2658" s="244">
        <v>11.2445</v>
      </c>
    </row>
    <row r="2659" spans="1:2" x14ac:dyDescent="0.25">
      <c r="A2659" s="198">
        <v>45475</v>
      </c>
      <c r="B2659" s="244">
        <v>11.247199999999999</v>
      </c>
    </row>
    <row r="2660" spans="1:2" x14ac:dyDescent="0.25">
      <c r="A2660" s="198">
        <v>45476</v>
      </c>
      <c r="B2660" s="244">
        <v>11.244999999999999</v>
      </c>
    </row>
    <row r="2661" spans="1:2" x14ac:dyDescent="0.25">
      <c r="A2661" s="198">
        <v>45477</v>
      </c>
      <c r="B2661" s="244">
        <v>11.244999999999999</v>
      </c>
    </row>
    <row r="2662" spans="1:2" x14ac:dyDescent="0.25">
      <c r="A2662" s="198">
        <v>45478</v>
      </c>
      <c r="B2662" s="244">
        <v>11.244999999999999</v>
      </c>
    </row>
    <row r="2663" spans="1:2" x14ac:dyDescent="0.25">
      <c r="A2663" s="198">
        <v>45481</v>
      </c>
      <c r="B2663" s="244">
        <v>11.246499999999999</v>
      </c>
    </row>
    <row r="2664" spans="1:2" x14ac:dyDescent="0.25">
      <c r="A2664" s="198">
        <v>45482</v>
      </c>
      <c r="B2664" s="244">
        <v>11.2475</v>
      </c>
    </row>
    <row r="2665" spans="1:2" x14ac:dyDescent="0.25">
      <c r="A2665" s="198">
        <v>45483</v>
      </c>
      <c r="B2665" s="244">
        <v>11.244999999999999</v>
      </c>
    </row>
    <row r="2666" spans="1:2" x14ac:dyDescent="0.25">
      <c r="A2666" s="198">
        <v>45484</v>
      </c>
      <c r="B2666" s="244">
        <v>11.246499999999999</v>
      </c>
    </row>
    <row r="2667" spans="1:2" x14ac:dyDescent="0.25">
      <c r="A2667" s="198">
        <v>45485</v>
      </c>
      <c r="B2667" s="244">
        <v>11.244999999999999</v>
      </c>
    </row>
    <row r="2668" spans="1:2" x14ac:dyDescent="0.25">
      <c r="A2668" s="198">
        <v>45488</v>
      </c>
      <c r="B2668" s="244">
        <v>11.247</v>
      </c>
    </row>
    <row r="2669" spans="1:2" x14ac:dyDescent="0.25">
      <c r="A2669" s="198">
        <v>45489</v>
      </c>
      <c r="B2669" s="244">
        <v>11.244999999999999</v>
      </c>
    </row>
    <row r="2670" spans="1:2" x14ac:dyDescent="0.25">
      <c r="A2670" s="198">
        <v>45490</v>
      </c>
      <c r="B2670" s="244">
        <v>11.244999999999999</v>
      </c>
    </row>
    <row r="2671" spans="1:2" x14ac:dyDescent="0.25">
      <c r="A2671" s="198">
        <v>45491</v>
      </c>
      <c r="B2671" s="244">
        <v>11.244999999999999</v>
      </c>
    </row>
    <row r="2672" spans="1:2" x14ac:dyDescent="0.25">
      <c r="A2672" s="198">
        <v>45492</v>
      </c>
      <c r="B2672" s="244">
        <v>11.244899999999999</v>
      </c>
    </row>
    <row r="2673" spans="1:2" x14ac:dyDescent="0.25">
      <c r="A2673" s="198">
        <v>45495</v>
      </c>
      <c r="B2673" s="244">
        <v>11.244999999999999</v>
      </c>
    </row>
    <row r="2674" spans="1:2" x14ac:dyDescent="0.25">
      <c r="A2674" s="198">
        <v>45496</v>
      </c>
      <c r="B2674" s="244">
        <v>11.244999999999999</v>
      </c>
    </row>
    <row r="2675" spans="1:2" x14ac:dyDescent="0.25">
      <c r="A2675" s="198">
        <v>45497</v>
      </c>
      <c r="B2675" s="244">
        <v>11.246499999999999</v>
      </c>
    </row>
    <row r="2676" spans="1:2" x14ac:dyDescent="0.25">
      <c r="A2676" s="198">
        <v>45498</v>
      </c>
      <c r="B2676" s="244">
        <v>11.2475</v>
      </c>
    </row>
    <row r="2677" spans="1:2" x14ac:dyDescent="0.25">
      <c r="A2677" s="198">
        <v>45499</v>
      </c>
      <c r="B2677" s="244">
        <v>11.244999999999999</v>
      </c>
    </row>
    <row r="2678" spans="1:2" x14ac:dyDescent="0.25">
      <c r="A2678" s="198">
        <v>45502</v>
      </c>
      <c r="B2678" s="244">
        <v>11.244999999999999</v>
      </c>
    </row>
    <row r="2679" spans="1:2" x14ac:dyDescent="0.25">
      <c r="A2679" s="198">
        <v>45503</v>
      </c>
      <c r="B2679" s="244">
        <v>11.244899999999999</v>
      </c>
    </row>
    <row r="2680" spans="1:2" x14ac:dyDescent="0.25">
      <c r="A2680" s="198">
        <v>45504</v>
      </c>
      <c r="B2680" s="244">
        <v>11.244999999999999</v>
      </c>
    </row>
    <row r="2681" spans="1:2" x14ac:dyDescent="0.25">
      <c r="A2681" s="198">
        <v>45505</v>
      </c>
      <c r="B2681" s="244">
        <v>11.244999999999999</v>
      </c>
    </row>
    <row r="2682" spans="1:2" x14ac:dyDescent="0.25">
      <c r="A2682" s="198">
        <v>45506</v>
      </c>
      <c r="B2682" s="244">
        <v>11.2475</v>
      </c>
    </row>
    <row r="2683" spans="1:2" x14ac:dyDescent="0.25">
      <c r="A2683" s="198">
        <v>45509</v>
      </c>
      <c r="B2683" s="244">
        <v>11.244999999999999</v>
      </c>
    </row>
    <row r="2684" spans="1:2" x14ac:dyDescent="0.25">
      <c r="A2684" s="198">
        <v>45510</v>
      </c>
      <c r="B2684" s="244">
        <v>11.244999999999999</v>
      </c>
    </row>
    <row r="2685" spans="1:2" x14ac:dyDescent="0.25">
      <c r="A2685" s="198">
        <v>45511</v>
      </c>
      <c r="B2685" s="244">
        <v>11.2325</v>
      </c>
    </row>
    <row r="2686" spans="1:2" x14ac:dyDescent="0.25">
      <c r="A2686" s="198">
        <v>45512</v>
      </c>
      <c r="B2686" s="244">
        <v>11.247999999999999</v>
      </c>
    </row>
    <row r="2687" spans="1:2" x14ac:dyDescent="0.25">
      <c r="A2687" s="198">
        <v>45513</v>
      </c>
      <c r="B2687" s="244">
        <v>11.2475</v>
      </c>
    </row>
    <row r="2688" spans="1:2" x14ac:dyDescent="0.25">
      <c r="A2688" s="198">
        <v>45516</v>
      </c>
      <c r="B2688" s="244">
        <v>11.025</v>
      </c>
    </row>
    <row r="2689" spans="1:2" x14ac:dyDescent="0.25">
      <c r="A2689" s="198">
        <v>45517</v>
      </c>
      <c r="B2689" s="244">
        <v>11.0025</v>
      </c>
    </row>
    <row r="2690" spans="1:2" x14ac:dyDescent="0.25">
      <c r="A2690" s="198">
        <v>45518</v>
      </c>
      <c r="B2690" s="244">
        <v>11.001200000000001</v>
      </c>
    </row>
    <row r="2691" spans="1:2" x14ac:dyDescent="0.25">
      <c r="A2691" s="198">
        <v>45519</v>
      </c>
      <c r="B2691" s="244">
        <v>11.002800000000001</v>
      </c>
    </row>
    <row r="2692" spans="1:2" x14ac:dyDescent="0.25">
      <c r="A2692" s="198">
        <v>45520</v>
      </c>
      <c r="B2692" s="244">
        <v>11.0032</v>
      </c>
    </row>
    <row r="2693" spans="1:2" x14ac:dyDescent="0.25">
      <c r="A2693" s="198">
        <v>45523</v>
      </c>
      <c r="B2693" s="244">
        <v>11.0016</v>
      </c>
    </row>
    <row r="2694" spans="1:2" x14ac:dyDescent="0.25">
      <c r="A2694" s="198">
        <v>45524</v>
      </c>
      <c r="B2694" s="244">
        <v>11.006399999999999</v>
      </c>
    </row>
    <row r="2695" spans="1:2" x14ac:dyDescent="0.25">
      <c r="A2695" s="198">
        <v>45525</v>
      </c>
      <c r="B2695" s="244">
        <v>11.0077</v>
      </c>
    </row>
    <row r="2696" spans="1:2" x14ac:dyDescent="0.25">
      <c r="A2696" s="198">
        <v>45526</v>
      </c>
      <c r="B2696" s="244">
        <v>11.0038</v>
      </c>
    </row>
    <row r="2697" spans="1:2" x14ac:dyDescent="0.25">
      <c r="A2697" s="198">
        <v>45527</v>
      </c>
      <c r="B2697" s="244">
        <v>11.002800000000001</v>
      </c>
    </row>
    <row r="2698" spans="1:2" x14ac:dyDescent="0.25">
      <c r="A2698" s="198">
        <v>45530</v>
      </c>
      <c r="B2698" s="244">
        <v>11.0014</v>
      </c>
    </row>
    <row r="2699" spans="1:2" x14ac:dyDescent="0.25">
      <c r="A2699" s="198">
        <v>45531</v>
      </c>
      <c r="B2699" s="244">
        <v>11.0007</v>
      </c>
    </row>
    <row r="2700" spans="1:2" x14ac:dyDescent="0.25">
      <c r="A2700" s="198">
        <v>45532</v>
      </c>
      <c r="B2700" s="244">
        <v>10.9994</v>
      </c>
    </row>
    <row r="2701" spans="1:2" x14ac:dyDescent="0.25">
      <c r="A2701" s="198">
        <v>45533</v>
      </c>
      <c r="B2701" s="244">
        <v>10.9985</v>
      </c>
    </row>
    <row r="2702" spans="1:2" x14ac:dyDescent="0.25">
      <c r="A2702" s="198">
        <v>45534</v>
      </c>
      <c r="B2702" s="244">
        <v>10.997999999999999</v>
      </c>
    </row>
    <row r="2703" spans="1:2" x14ac:dyDescent="0.25">
      <c r="A2703" s="198">
        <v>45537</v>
      </c>
      <c r="B2703" s="244">
        <v>10.9977</v>
      </c>
    </row>
    <row r="2704" spans="1:2" x14ac:dyDescent="0.25">
      <c r="A2704" s="198">
        <v>45538</v>
      </c>
      <c r="B2704" s="244">
        <v>10.9976</v>
      </c>
    </row>
    <row r="2705" spans="1:2" x14ac:dyDescent="0.25">
      <c r="A2705" s="198">
        <v>45539</v>
      </c>
      <c r="B2705" s="244">
        <v>10.984999999999999</v>
      </c>
    </row>
    <row r="2706" spans="1:2" x14ac:dyDescent="0.25">
      <c r="A2706" s="198">
        <v>45540</v>
      </c>
      <c r="B2706" s="244">
        <v>10.98</v>
      </c>
    </row>
    <row r="2707" spans="1:2" x14ac:dyDescent="0.25">
      <c r="A2707" s="198">
        <v>45541</v>
      </c>
      <c r="B2707" s="244">
        <v>10.975</v>
      </c>
    </row>
    <row r="2708" spans="1:2" x14ac:dyDescent="0.25">
      <c r="A2708" s="198">
        <v>45544</v>
      </c>
      <c r="B2708" s="244">
        <v>10.9725</v>
      </c>
    </row>
    <row r="2709" spans="1:2" x14ac:dyDescent="0.25">
      <c r="A2709" s="198">
        <v>45545</v>
      </c>
      <c r="B2709" s="244">
        <v>10.963800000000001</v>
      </c>
    </row>
    <row r="2710" spans="1:2" x14ac:dyDescent="0.25">
      <c r="A2710" s="198">
        <v>45546</v>
      </c>
      <c r="B2710" s="244">
        <v>10.967499999999999</v>
      </c>
    </row>
    <row r="2711" spans="1:2" x14ac:dyDescent="0.25">
      <c r="A2711" s="198">
        <v>45547</v>
      </c>
      <c r="B2711" s="244">
        <v>10.965</v>
      </c>
    </row>
    <row r="2712" spans="1:2" x14ac:dyDescent="0.25">
      <c r="A2712" s="198">
        <v>45548</v>
      </c>
      <c r="B2712" s="244">
        <v>10.965</v>
      </c>
    </row>
    <row r="2713" spans="1:2" x14ac:dyDescent="0.25">
      <c r="A2713" s="198">
        <v>45552</v>
      </c>
      <c r="B2713" s="244">
        <v>10.9725</v>
      </c>
    </row>
    <row r="2714" spans="1:2" x14ac:dyDescent="0.25">
      <c r="A2714" s="198">
        <v>45553</v>
      </c>
      <c r="B2714" s="244">
        <v>10.960599999999999</v>
      </c>
    </row>
    <row r="2715" spans="1:2" x14ac:dyDescent="0.25">
      <c r="A2715" s="198">
        <v>45554</v>
      </c>
      <c r="B2715" s="244">
        <v>10.952500000000001</v>
      </c>
    </row>
    <row r="2716" spans="1:2" x14ac:dyDescent="0.25">
      <c r="A2716" s="198">
        <v>45555</v>
      </c>
      <c r="B2716" s="244">
        <v>10.945</v>
      </c>
    </row>
    <row r="2717" spans="1:2" x14ac:dyDescent="0.25">
      <c r="A2717" s="198">
        <v>45558</v>
      </c>
      <c r="B2717" s="244">
        <v>10.95</v>
      </c>
    </row>
    <row r="2718" spans="1:2" x14ac:dyDescent="0.25">
      <c r="A2718" s="198">
        <v>45559</v>
      </c>
      <c r="B2718" s="244">
        <v>10.936400000000001</v>
      </c>
    </row>
    <row r="2719" spans="1:2" x14ac:dyDescent="0.25">
      <c r="A2719" s="198">
        <v>45560</v>
      </c>
      <c r="B2719" s="244">
        <v>10.935</v>
      </c>
    </row>
    <row r="2720" spans="1:2" x14ac:dyDescent="0.25">
      <c r="A2720" s="198">
        <v>45561</v>
      </c>
      <c r="B2720" s="244">
        <v>10.9199</v>
      </c>
    </row>
    <row r="2721" spans="1:2" x14ac:dyDescent="0.25">
      <c r="A2721" s="198">
        <v>45562</v>
      </c>
      <c r="B2721" s="244">
        <v>10.92</v>
      </c>
    </row>
    <row r="2722" spans="1:2" x14ac:dyDescent="0.25">
      <c r="A2722" s="198">
        <v>45565</v>
      </c>
      <c r="B2722" s="244">
        <v>10.74</v>
      </c>
    </row>
    <row r="2723" spans="1:2" x14ac:dyDescent="0.25">
      <c r="A2723" s="198">
        <v>45567</v>
      </c>
      <c r="B2723" s="244">
        <v>10.74</v>
      </c>
    </row>
    <row r="2724" spans="1:2" x14ac:dyDescent="0.25">
      <c r="A2724" s="198">
        <v>45568</v>
      </c>
      <c r="B2724" s="244">
        <v>10.7399</v>
      </c>
    </row>
    <row r="2725" spans="1:2" x14ac:dyDescent="0.25">
      <c r="A2725" s="198">
        <v>45569</v>
      </c>
      <c r="B2725" s="244">
        <v>10.7437</v>
      </c>
    </row>
    <row r="2726" spans="1:2" x14ac:dyDescent="0.25">
      <c r="A2726" s="198">
        <v>45572</v>
      </c>
      <c r="B2726" s="244">
        <v>10.7399</v>
      </c>
    </row>
    <row r="2727" spans="1:2" x14ac:dyDescent="0.25">
      <c r="A2727" s="198">
        <v>45573</v>
      </c>
      <c r="B2727" s="244">
        <v>10.7399</v>
      </c>
    </row>
    <row r="2728" spans="1:2" x14ac:dyDescent="0.25">
      <c r="A2728" s="198">
        <v>45574</v>
      </c>
      <c r="B2728" s="244">
        <v>10.7437</v>
      </c>
    </row>
    <row r="2729" spans="1:2" x14ac:dyDescent="0.25">
      <c r="A2729" s="198">
        <v>45575</v>
      </c>
      <c r="B2729" s="244">
        <v>10.74</v>
      </c>
    </row>
    <row r="2730" spans="1:2" x14ac:dyDescent="0.25">
      <c r="A2730" s="198">
        <v>45576</v>
      </c>
      <c r="B2730" s="244">
        <v>10.7399</v>
      </c>
    </row>
    <row r="2731" spans="1:2" x14ac:dyDescent="0.25">
      <c r="A2731" s="198">
        <v>45579</v>
      </c>
      <c r="B2731" s="244">
        <v>10.743499999999999</v>
      </c>
    </row>
    <row r="2732" spans="1:2" x14ac:dyDescent="0.25">
      <c r="A2732" s="198">
        <v>45580</v>
      </c>
      <c r="B2732" s="244">
        <v>10.74</v>
      </c>
    </row>
    <row r="2733" spans="1:2" x14ac:dyDescent="0.25">
      <c r="A2733" s="198">
        <v>45581</v>
      </c>
      <c r="B2733" s="244">
        <v>10.743399999999999</v>
      </c>
    </row>
    <row r="2734" spans="1:2" x14ac:dyDescent="0.25">
      <c r="A2734" s="198">
        <v>45582</v>
      </c>
      <c r="B2734" s="244">
        <v>10.7399</v>
      </c>
    </row>
    <row r="2735" spans="1:2" x14ac:dyDescent="0.25">
      <c r="A2735" s="198">
        <v>45583</v>
      </c>
      <c r="B2735" s="244">
        <v>10.74</v>
      </c>
    </row>
    <row r="2736" spans="1:2" x14ac:dyDescent="0.25">
      <c r="A2736" s="198">
        <v>45586</v>
      </c>
      <c r="B2736" s="244">
        <v>10.74</v>
      </c>
    </row>
    <row r="2737" spans="1:2" x14ac:dyDescent="0.25">
      <c r="A2737" s="198">
        <v>45587</v>
      </c>
      <c r="B2737" s="244">
        <v>10.734999999999999</v>
      </c>
    </row>
    <row r="2738" spans="1:2" x14ac:dyDescent="0.25">
      <c r="A2738" s="198">
        <v>45588</v>
      </c>
      <c r="B2738" s="244">
        <v>10.74</v>
      </c>
    </row>
    <row r="2739" spans="1:2" x14ac:dyDescent="0.25">
      <c r="A2739" s="198">
        <v>45589</v>
      </c>
      <c r="B2739" s="244">
        <v>10.725199999999999</v>
      </c>
    </row>
    <row r="2740" spans="1:2" x14ac:dyDescent="0.25">
      <c r="A2740" s="198">
        <v>45590</v>
      </c>
      <c r="B2740" s="244">
        <v>10.73</v>
      </c>
    </row>
    <row r="2741" spans="1:2" x14ac:dyDescent="0.25">
      <c r="A2741" s="198">
        <v>45593</v>
      </c>
      <c r="B2741" s="244">
        <v>10.7157</v>
      </c>
    </row>
    <row r="2742" spans="1:2" x14ac:dyDescent="0.25">
      <c r="A2742" s="198">
        <v>45594</v>
      </c>
      <c r="B2742" s="244">
        <v>10.72</v>
      </c>
    </row>
    <row r="2743" spans="1:2" x14ac:dyDescent="0.25">
      <c r="A2743" s="198">
        <v>45595</v>
      </c>
      <c r="B2743" s="244">
        <v>10.721</v>
      </c>
    </row>
    <row r="2744" spans="1:2" x14ac:dyDescent="0.25">
      <c r="A2744" s="198">
        <v>45596</v>
      </c>
      <c r="B2744" s="244">
        <v>10.720499999999999</v>
      </c>
    </row>
    <row r="2745" spans="1:2" x14ac:dyDescent="0.25">
      <c r="A2745" s="198">
        <v>45597</v>
      </c>
      <c r="B2745" s="244">
        <v>10.707800000000001</v>
      </c>
    </row>
    <row r="2746" spans="1:2" x14ac:dyDescent="0.25">
      <c r="A2746" s="198">
        <v>45600</v>
      </c>
      <c r="B2746" s="244">
        <v>10.72</v>
      </c>
    </row>
    <row r="2747" spans="1:2" x14ac:dyDescent="0.25">
      <c r="A2747" s="198">
        <v>45601</v>
      </c>
      <c r="B2747" s="244">
        <v>10.72</v>
      </c>
    </row>
    <row r="2748" spans="1:2" x14ac:dyDescent="0.25">
      <c r="A2748" s="198">
        <v>45602</v>
      </c>
      <c r="B2748" s="244">
        <v>10.7058</v>
      </c>
    </row>
    <row r="2749" spans="1:2" x14ac:dyDescent="0.25">
      <c r="A2749" s="198">
        <v>45603</v>
      </c>
      <c r="B2749" s="244">
        <v>10.7</v>
      </c>
    </row>
    <row r="2750" spans="1:2" x14ac:dyDescent="0.25">
      <c r="A2750" s="198">
        <v>45604</v>
      </c>
      <c r="B2750" s="244">
        <v>10.6975</v>
      </c>
    </row>
    <row r="2751" spans="1:2" x14ac:dyDescent="0.25">
      <c r="A2751" s="198">
        <v>45607</v>
      </c>
      <c r="B2751" s="244">
        <v>10.6958</v>
      </c>
    </row>
    <row r="2752" spans="1:2" x14ac:dyDescent="0.25">
      <c r="A2752" s="198">
        <v>45608</v>
      </c>
      <c r="B2752" s="244">
        <v>10.6983</v>
      </c>
    </row>
    <row r="2753" spans="1:2" x14ac:dyDescent="0.25">
      <c r="A2753" s="198">
        <v>45609</v>
      </c>
      <c r="B2753" s="244">
        <v>10.695</v>
      </c>
    </row>
    <row r="2754" spans="1:2" x14ac:dyDescent="0.25">
      <c r="A2754" s="198">
        <v>45610</v>
      </c>
      <c r="B2754" s="244">
        <v>10.682499999999999</v>
      </c>
    </row>
    <row r="2755" spans="1:2" x14ac:dyDescent="0.25">
      <c r="A2755" s="198">
        <v>45611</v>
      </c>
      <c r="B2755" s="244">
        <v>10.6945</v>
      </c>
    </row>
    <row r="2756" spans="1:2" x14ac:dyDescent="0.25">
      <c r="A2756" s="198">
        <v>45615</v>
      </c>
      <c r="B2756" s="244">
        <v>10.49</v>
      </c>
    </row>
    <row r="2757" spans="1:2" x14ac:dyDescent="0.25">
      <c r="A2757" s="198">
        <v>45616</v>
      </c>
      <c r="B2757" s="244">
        <v>10.493</v>
      </c>
    </row>
    <row r="2758" spans="1:2" x14ac:dyDescent="0.25">
      <c r="A2758" s="198">
        <v>45617</v>
      </c>
      <c r="B2758" s="244">
        <v>10.4945</v>
      </c>
    </row>
    <row r="2759" spans="1:2" x14ac:dyDescent="0.25">
      <c r="A2759" s="198">
        <v>45618</v>
      </c>
      <c r="B2759" s="244">
        <v>10.494999999999999</v>
      </c>
    </row>
    <row r="2760" spans="1:2" x14ac:dyDescent="0.25">
      <c r="A2760" s="198">
        <v>45621</v>
      </c>
      <c r="B2760" s="244">
        <v>10.4954</v>
      </c>
    </row>
    <row r="2761" spans="1:2" x14ac:dyDescent="0.25">
      <c r="A2761" s="198">
        <v>45622</v>
      </c>
      <c r="B2761" s="244">
        <v>10.4833</v>
      </c>
    </row>
    <row r="2762" spans="1:2" x14ac:dyDescent="0.25">
      <c r="A2762" s="198">
        <v>45623</v>
      </c>
      <c r="B2762" s="244">
        <v>10.484999999999999</v>
      </c>
    </row>
    <row r="2763" spans="1:2" x14ac:dyDescent="0.25">
      <c r="A2763" s="198">
        <v>45624</v>
      </c>
      <c r="B2763" s="244">
        <v>10.484999999999999</v>
      </c>
    </row>
    <row r="2764" spans="1:2" x14ac:dyDescent="0.25">
      <c r="A2764" s="198">
        <v>45625</v>
      </c>
      <c r="B2764" s="244">
        <v>10.4763</v>
      </c>
    </row>
    <row r="2765" spans="1:2" x14ac:dyDescent="0.25">
      <c r="A2765" s="198">
        <v>45628</v>
      </c>
      <c r="B2765" s="244">
        <v>10.475</v>
      </c>
    </row>
    <row r="2766" spans="1:2" x14ac:dyDescent="0.25">
      <c r="A2766" s="198">
        <v>45629</v>
      </c>
      <c r="B2766" s="244">
        <v>10.47</v>
      </c>
    </row>
    <row r="2767" spans="1:2" x14ac:dyDescent="0.25">
      <c r="A2767" s="198">
        <v>45630</v>
      </c>
      <c r="B2767" s="244">
        <v>10.4663</v>
      </c>
    </row>
    <row r="2768" spans="1:2" x14ac:dyDescent="0.25">
      <c r="A2768" s="198">
        <v>45631</v>
      </c>
      <c r="B2768" s="244">
        <v>10.456300000000001</v>
      </c>
    </row>
    <row r="2769" spans="1:15" x14ac:dyDescent="0.25">
      <c r="A2769" s="198">
        <v>45632</v>
      </c>
      <c r="B2769" s="244">
        <v>10.45</v>
      </c>
    </row>
    <row r="2770" spans="1:15" x14ac:dyDescent="0.25">
      <c r="A2770" s="198">
        <v>45635</v>
      </c>
      <c r="B2770" s="244">
        <v>10.442500000000001</v>
      </c>
    </row>
    <row r="2771" spans="1:15" x14ac:dyDescent="0.25">
      <c r="A2771" s="198">
        <v>45636</v>
      </c>
      <c r="B2771" s="244">
        <v>10.438800000000001</v>
      </c>
    </row>
    <row r="2772" spans="1:15" x14ac:dyDescent="0.25">
      <c r="A2772" s="198">
        <v>45637</v>
      </c>
      <c r="B2772" s="244">
        <v>10.436</v>
      </c>
    </row>
    <row r="2773" spans="1:15" x14ac:dyDescent="0.25">
      <c r="A2773" s="198">
        <v>45639</v>
      </c>
      <c r="B2773" s="244">
        <v>10.433299999999999</v>
      </c>
    </row>
    <row r="2774" spans="1:15" x14ac:dyDescent="0.25">
      <c r="A2774" s="198">
        <v>45642</v>
      </c>
      <c r="B2774" s="244">
        <v>10.4375</v>
      </c>
    </row>
    <row r="2775" spans="1:15" x14ac:dyDescent="0.25">
      <c r="A2775" s="198">
        <v>45643</v>
      </c>
      <c r="B2775" s="244">
        <v>10.425000000000001</v>
      </c>
    </row>
    <row r="2776" spans="1:15" x14ac:dyDescent="0.25">
      <c r="A2776" s="198">
        <v>45644</v>
      </c>
      <c r="B2776" s="244">
        <v>10.418799999999999</v>
      </c>
    </row>
    <row r="2777" spans="1:15" x14ac:dyDescent="0.25">
      <c r="A2777" s="198">
        <v>45645</v>
      </c>
      <c r="B2777" s="244">
        <v>10.414999999999999</v>
      </c>
    </row>
    <row r="2778" spans="1:15" x14ac:dyDescent="0.25">
      <c r="A2778" s="198">
        <v>45646</v>
      </c>
      <c r="B2778" s="244">
        <v>10.425000000000001</v>
      </c>
    </row>
    <row r="2779" spans="1:15" x14ac:dyDescent="0.25">
      <c r="A2779" s="198">
        <v>45649</v>
      </c>
      <c r="B2779" s="244">
        <v>10.224399999999999</v>
      </c>
    </row>
    <row r="2780" spans="1:15" x14ac:dyDescent="0.25">
      <c r="A2780" s="198">
        <v>45650</v>
      </c>
      <c r="B2780" s="244">
        <v>10.234400000000001</v>
      </c>
    </row>
    <row r="2781" spans="1:15" x14ac:dyDescent="0.25">
      <c r="A2781" s="198">
        <v>45652</v>
      </c>
      <c r="B2781" s="244">
        <v>10.237</v>
      </c>
    </row>
    <row r="2782" spans="1:15" x14ac:dyDescent="0.25">
      <c r="A2782" s="198">
        <v>45653</v>
      </c>
      <c r="B2782" s="244">
        <v>10.2422</v>
      </c>
    </row>
    <row r="2783" spans="1:15" x14ac:dyDescent="0.25">
      <c r="A2783" s="198">
        <v>45656</v>
      </c>
      <c r="B2783" s="244">
        <v>10.242900000000001</v>
      </c>
      <c r="G2783" s="5" t="s">
        <v>19</v>
      </c>
      <c r="H2783" s="6"/>
    </row>
    <row r="2784" spans="1:15" x14ac:dyDescent="0.25">
      <c r="A2784" s="198">
        <v>45657</v>
      </c>
      <c r="B2784" s="244">
        <v>10.244</v>
      </c>
      <c r="G2784" s="7" t="s">
        <v>126</v>
      </c>
      <c r="H2784" s="8">
        <f>+D2785/100</f>
        <v>0.110987980079681</v>
      </c>
      <c r="O2784" s="125">
        <f>+B2385/100</f>
        <v>0.11505699999999999</v>
      </c>
    </row>
    <row r="2785" spans="3:15" x14ac:dyDescent="0.25">
      <c r="C2785" s="2" t="s">
        <v>28</v>
      </c>
      <c r="D2785" s="76">
        <f>AVERAGE(B2534:B2784)</f>
        <v>11.098798007968099</v>
      </c>
      <c r="G2785" s="9" t="s">
        <v>21</v>
      </c>
      <c r="H2785" s="10">
        <f>+INPC!D334/100</f>
        <v>4.2123393743437321E-2</v>
      </c>
      <c r="O2785" s="126">
        <f>+H2785</f>
        <v>4.2123393743437321E-2</v>
      </c>
    </row>
    <row r="2786" spans="3:15" x14ac:dyDescent="0.25">
      <c r="C2786" s="4">
        <f>+CETES!E1364</f>
        <v>45262.583333333336</v>
      </c>
      <c r="D2786" s="4">
        <f>+CETES!F1364</f>
        <v>45627</v>
      </c>
      <c r="G2786" s="11" t="s">
        <v>22</v>
      </c>
      <c r="H2786" s="12">
        <f>(H2784-H2785)/(1+H2785)</f>
        <v>6.6081029127341137E-2</v>
      </c>
      <c r="O2786" s="127">
        <f>(O2784-O2785)/(1+O2785)</f>
        <v>6.9985576270940486E-2</v>
      </c>
    </row>
    <row r="2788" spans="3:15" x14ac:dyDescent="0.25">
      <c r="C2788" s="1" t="s">
        <v>32</v>
      </c>
    </row>
  </sheetData>
  <hyperlinks>
    <hyperlink ref="C2788" r:id="rId1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showGridLines="0" zoomScale="115" zoomScaleNormal="115" workbookViewId="0">
      <selection activeCell="E1356" sqref="E1356"/>
    </sheetView>
  </sheetViews>
  <sheetFormatPr baseColWidth="10" defaultColWidth="11.5703125" defaultRowHeight="12.75" x14ac:dyDescent="0.2"/>
  <cols>
    <col min="1" max="1" width="12.28515625" style="30" customWidth="1"/>
    <col min="2" max="23" width="9.7109375" style="30" customWidth="1"/>
    <col min="24" max="16384" width="11.5703125" style="30"/>
  </cols>
  <sheetData>
    <row r="1" spans="1:22" s="16" customFormat="1" ht="18" x14ac:dyDescent="0.2">
      <c r="A1" s="14" t="s">
        <v>33</v>
      </c>
      <c r="B1" s="15"/>
      <c r="U1" s="17"/>
    </row>
    <row r="2" spans="1:22" s="16" customFormat="1" ht="18" x14ac:dyDescent="0.2">
      <c r="A2" s="14"/>
      <c r="B2" s="15"/>
      <c r="U2" s="17"/>
    </row>
    <row r="3" spans="1:22" s="16" customFormat="1" ht="18" x14ac:dyDescent="0.2">
      <c r="A3" s="18" t="s">
        <v>34</v>
      </c>
      <c r="B3" s="15"/>
      <c r="U3" s="17"/>
    </row>
    <row r="4" spans="1:22" s="21" customFormat="1" ht="13.9" customHeight="1" x14ac:dyDescent="0.25">
      <c r="A4" s="19" t="s">
        <v>35</v>
      </c>
      <c r="B4" s="20">
        <v>0</v>
      </c>
      <c r="C4" s="20">
        <f>+B4+1</f>
        <v>1</v>
      </c>
      <c r="D4" s="20">
        <f t="shared" ref="D4:V4" si="0">+C4+1</f>
        <v>2</v>
      </c>
      <c r="E4" s="20">
        <f t="shared" si="0"/>
        <v>3</v>
      </c>
      <c r="F4" s="20">
        <f t="shared" si="0"/>
        <v>4</v>
      </c>
      <c r="G4" s="20">
        <f t="shared" si="0"/>
        <v>5</v>
      </c>
      <c r="H4" s="20">
        <f t="shared" si="0"/>
        <v>6</v>
      </c>
      <c r="I4" s="20">
        <f t="shared" si="0"/>
        <v>7</v>
      </c>
      <c r="J4" s="20">
        <f t="shared" si="0"/>
        <v>8</v>
      </c>
      <c r="K4" s="20">
        <f t="shared" si="0"/>
        <v>9</v>
      </c>
      <c r="L4" s="20">
        <f t="shared" si="0"/>
        <v>10</v>
      </c>
      <c r="M4" s="20">
        <f t="shared" si="0"/>
        <v>11</v>
      </c>
      <c r="N4" s="20">
        <f t="shared" si="0"/>
        <v>12</v>
      </c>
      <c r="O4" s="20">
        <f t="shared" si="0"/>
        <v>13</v>
      </c>
      <c r="P4" s="20">
        <f t="shared" si="0"/>
        <v>14</v>
      </c>
      <c r="Q4" s="20">
        <f t="shared" si="0"/>
        <v>15</v>
      </c>
      <c r="R4" s="20">
        <f t="shared" si="0"/>
        <v>16</v>
      </c>
      <c r="S4" s="20">
        <f t="shared" si="0"/>
        <v>17</v>
      </c>
      <c r="T4" s="20">
        <f t="shared" si="0"/>
        <v>18</v>
      </c>
      <c r="U4" s="20">
        <f t="shared" si="0"/>
        <v>19</v>
      </c>
      <c r="V4" s="20">
        <f t="shared" si="0"/>
        <v>20</v>
      </c>
    </row>
    <row r="5" spans="1:22" s="16" customFormat="1" x14ac:dyDescent="0.25">
      <c r="A5" s="135"/>
      <c r="B5" s="136">
        <v>2004</v>
      </c>
      <c r="C5" s="136">
        <v>2005</v>
      </c>
      <c r="D5" s="136">
        <v>2006</v>
      </c>
      <c r="E5" s="136">
        <v>2007</v>
      </c>
      <c r="F5" s="136">
        <v>2008</v>
      </c>
      <c r="G5" s="136">
        <v>2009</v>
      </c>
      <c r="H5" s="136">
        <v>2010</v>
      </c>
      <c r="I5" s="136">
        <v>2011</v>
      </c>
      <c r="J5" s="136">
        <v>2012</v>
      </c>
      <c r="K5" s="136">
        <v>2013</v>
      </c>
      <c r="L5" s="136">
        <v>2014</v>
      </c>
      <c r="M5" s="136">
        <v>2015</v>
      </c>
      <c r="N5" s="136">
        <v>2016</v>
      </c>
      <c r="O5" s="136">
        <v>2017</v>
      </c>
      <c r="P5" s="136">
        <v>2018</v>
      </c>
      <c r="Q5" s="137">
        <v>2019</v>
      </c>
      <c r="R5" s="137">
        <v>2020</v>
      </c>
      <c r="S5" s="137">
        <v>2021</v>
      </c>
      <c r="T5" s="137">
        <v>2022</v>
      </c>
      <c r="U5" s="137">
        <v>2023</v>
      </c>
      <c r="V5" s="137">
        <v>2024</v>
      </c>
    </row>
    <row r="6" spans="1:22" s="16" customFormat="1" x14ac:dyDescent="0.25">
      <c r="A6" s="22" t="s">
        <v>36</v>
      </c>
      <c r="B6" s="23">
        <v>9428.77</v>
      </c>
      <c r="C6" s="23">
        <v>13097.12</v>
      </c>
      <c r="D6" s="23">
        <v>18907.099999999999</v>
      </c>
      <c r="E6" s="23">
        <v>27561.49</v>
      </c>
      <c r="F6" s="23">
        <v>28793.64</v>
      </c>
      <c r="G6" s="23">
        <v>19565.14</v>
      </c>
      <c r="H6" s="23">
        <v>30391.61</v>
      </c>
      <c r="I6" s="23">
        <v>36982.239999999998</v>
      </c>
      <c r="J6" s="23">
        <v>37422.68</v>
      </c>
      <c r="K6" s="23">
        <v>45278.06</v>
      </c>
      <c r="L6" s="23">
        <v>40879.75</v>
      </c>
      <c r="M6" s="23">
        <v>40950.58</v>
      </c>
      <c r="N6" s="23">
        <v>43630.77</v>
      </c>
      <c r="O6" s="23">
        <v>47001.06</v>
      </c>
      <c r="P6" s="23">
        <v>50456.17</v>
      </c>
      <c r="Q6" s="24">
        <v>43987.94</v>
      </c>
      <c r="R6" s="24">
        <v>44108.31</v>
      </c>
      <c r="S6" s="24">
        <v>42985.73</v>
      </c>
      <c r="T6" s="24">
        <v>51330.85</v>
      </c>
      <c r="U6" s="24">
        <v>54564.27</v>
      </c>
      <c r="V6" s="24">
        <v>57372.76</v>
      </c>
    </row>
    <row r="7" spans="1:22" s="16" customFormat="1" x14ac:dyDescent="0.25">
      <c r="A7" s="25" t="s">
        <v>37</v>
      </c>
      <c r="B7" s="26">
        <v>9991.7999999999993</v>
      </c>
      <c r="C7" s="26">
        <v>13789.46</v>
      </c>
      <c r="D7" s="26">
        <v>18706.32</v>
      </c>
      <c r="E7" s="26">
        <v>26638.95</v>
      </c>
      <c r="F7" s="26">
        <v>28918.52</v>
      </c>
      <c r="G7" s="26">
        <v>17752.18</v>
      </c>
      <c r="H7" s="26">
        <v>31634.54</v>
      </c>
      <c r="I7" s="26">
        <v>37019.699999999997</v>
      </c>
      <c r="J7" s="26">
        <v>37816.69</v>
      </c>
      <c r="K7" s="26">
        <v>44120.99</v>
      </c>
      <c r="L7" s="26">
        <v>38782.89</v>
      </c>
      <c r="M7" s="26">
        <v>44190.17</v>
      </c>
      <c r="N7" s="26">
        <v>43714.93</v>
      </c>
      <c r="O7" s="26">
        <v>46856.79</v>
      </c>
      <c r="P7" s="26">
        <v>47437.93</v>
      </c>
      <c r="Q7" s="27">
        <v>42823.81</v>
      </c>
      <c r="R7" s="27">
        <v>41324.31</v>
      </c>
      <c r="S7" s="27">
        <v>44592.91</v>
      </c>
      <c r="T7" s="27">
        <v>53400.61</v>
      </c>
      <c r="U7" s="27">
        <v>52758.06</v>
      </c>
      <c r="V7" s="27">
        <v>55414</v>
      </c>
    </row>
    <row r="8" spans="1:22" s="16" customFormat="1" x14ac:dyDescent="0.25">
      <c r="A8" s="22" t="s">
        <v>38</v>
      </c>
      <c r="B8" s="23">
        <v>10517.5</v>
      </c>
      <c r="C8" s="23">
        <v>12676.9</v>
      </c>
      <c r="D8" s="23">
        <v>19272.63</v>
      </c>
      <c r="E8" s="23">
        <v>28747.69</v>
      </c>
      <c r="F8" s="23">
        <v>30912.99</v>
      </c>
      <c r="G8" s="23">
        <v>19626.75</v>
      </c>
      <c r="H8" s="23">
        <v>33266.43</v>
      </c>
      <c r="I8" s="23">
        <v>37440.51</v>
      </c>
      <c r="J8" s="23">
        <v>39521.24</v>
      </c>
      <c r="K8" s="23">
        <v>44077.09</v>
      </c>
      <c r="L8" s="23">
        <v>40461.599999999999</v>
      </c>
      <c r="M8" s="23">
        <v>43724.78</v>
      </c>
      <c r="N8" s="23">
        <v>45881.08</v>
      </c>
      <c r="O8" s="23">
        <v>48541.56</v>
      </c>
      <c r="P8" s="23">
        <v>46124.85</v>
      </c>
      <c r="Q8" s="24">
        <v>43281.279999999999</v>
      </c>
      <c r="R8" s="24">
        <v>34554.53</v>
      </c>
      <c r="S8" s="24">
        <v>47246.26</v>
      </c>
      <c r="T8" s="24">
        <v>56536.68</v>
      </c>
      <c r="U8" s="24">
        <v>53904</v>
      </c>
      <c r="V8" s="24">
        <v>57369.01</v>
      </c>
    </row>
    <row r="9" spans="1:22" s="16" customFormat="1" x14ac:dyDescent="0.25">
      <c r="A9" s="25" t="s">
        <v>39</v>
      </c>
      <c r="B9" s="26">
        <v>9948.1299999999992</v>
      </c>
      <c r="C9" s="26">
        <v>12322.99</v>
      </c>
      <c r="D9" s="26">
        <v>20646.189999999999</v>
      </c>
      <c r="E9" s="26">
        <v>28996.71</v>
      </c>
      <c r="F9" s="26">
        <v>30281.41</v>
      </c>
      <c r="G9" s="26">
        <v>21898.85</v>
      </c>
      <c r="H9" s="26">
        <v>32687.32</v>
      </c>
      <c r="I9" s="26">
        <v>36962.620000000003</v>
      </c>
      <c r="J9" s="26">
        <v>39461</v>
      </c>
      <c r="K9" s="26">
        <v>42263.48</v>
      </c>
      <c r="L9" s="26">
        <v>40711.56</v>
      </c>
      <c r="M9" s="26">
        <v>44582.39</v>
      </c>
      <c r="N9" s="26">
        <v>45784.77</v>
      </c>
      <c r="O9" s="26">
        <v>49261.33</v>
      </c>
      <c r="P9" s="26">
        <v>48358.16</v>
      </c>
      <c r="Q9" s="27">
        <v>44597.32</v>
      </c>
      <c r="R9" s="27">
        <v>36870.089999999997</v>
      </c>
      <c r="S9" s="27">
        <v>48009.72</v>
      </c>
      <c r="T9" s="27">
        <v>51417.97</v>
      </c>
      <c r="U9" s="27">
        <v>55121.22</v>
      </c>
      <c r="V9" s="27">
        <v>56727.98</v>
      </c>
    </row>
    <row r="10" spans="1:22" s="16" customFormat="1" x14ac:dyDescent="0.25">
      <c r="A10" s="22" t="s">
        <v>40</v>
      </c>
      <c r="B10" s="23">
        <v>10036.290000000001</v>
      </c>
      <c r="C10" s="23">
        <v>12964.39</v>
      </c>
      <c r="D10" s="23">
        <v>18677.919999999998</v>
      </c>
      <c r="E10" s="23">
        <v>31398.959999999999</v>
      </c>
      <c r="F10" s="23">
        <v>31975.47</v>
      </c>
      <c r="G10" s="23">
        <v>24331.71</v>
      </c>
      <c r="H10" s="23">
        <v>32038.53</v>
      </c>
      <c r="I10" s="23">
        <v>35832.79</v>
      </c>
      <c r="J10" s="23">
        <v>37872.949999999997</v>
      </c>
      <c r="K10" s="23">
        <v>41588.32</v>
      </c>
      <c r="L10" s="23">
        <v>41362.51</v>
      </c>
      <c r="M10" s="23">
        <v>44703.62</v>
      </c>
      <c r="N10" s="23">
        <v>45459.45</v>
      </c>
      <c r="O10" s="23">
        <v>48788.44</v>
      </c>
      <c r="P10" s="23">
        <v>44662.55</v>
      </c>
      <c r="Q10" s="24">
        <v>42749.16</v>
      </c>
      <c r="R10" s="24">
        <v>36122.730000000003</v>
      </c>
      <c r="S10" s="24">
        <v>50885.95</v>
      </c>
      <c r="T10" s="24">
        <v>51752.53</v>
      </c>
      <c r="U10" s="24">
        <v>52736.26</v>
      </c>
      <c r="V10" s="24">
        <v>55179.24</v>
      </c>
    </row>
    <row r="11" spans="1:22" s="16" customFormat="1" x14ac:dyDescent="0.25">
      <c r="A11" s="25" t="s">
        <v>41</v>
      </c>
      <c r="B11" s="26">
        <v>10281.82</v>
      </c>
      <c r="C11" s="26">
        <v>13486.13</v>
      </c>
      <c r="D11" s="26">
        <v>19147.169999999998</v>
      </c>
      <c r="E11" s="26">
        <v>31151.05</v>
      </c>
      <c r="F11" s="26">
        <v>29395.49</v>
      </c>
      <c r="G11" s="26">
        <v>24368.38</v>
      </c>
      <c r="H11" s="26">
        <v>31156.97</v>
      </c>
      <c r="I11" s="26">
        <v>36558.07</v>
      </c>
      <c r="J11" s="26">
        <v>40199.550000000003</v>
      </c>
      <c r="K11" s="26">
        <v>40623.300000000003</v>
      </c>
      <c r="L11" s="26">
        <v>42737.17</v>
      </c>
      <c r="M11" s="26">
        <v>45053.7</v>
      </c>
      <c r="N11" s="26">
        <v>45966.49</v>
      </c>
      <c r="O11" s="26">
        <v>49857.49</v>
      </c>
      <c r="P11" s="26">
        <v>47663.199999999997</v>
      </c>
      <c r="Q11" s="27">
        <v>43161.17</v>
      </c>
      <c r="R11" s="27">
        <v>37716.43</v>
      </c>
      <c r="S11" s="27">
        <v>50289.75</v>
      </c>
      <c r="T11" s="27">
        <v>47524.45</v>
      </c>
      <c r="U11" s="27">
        <v>53526.1</v>
      </c>
      <c r="V11" s="27">
        <v>52440.02</v>
      </c>
    </row>
    <row r="12" spans="1:22" s="16" customFormat="1" x14ac:dyDescent="0.25">
      <c r="A12" s="22" t="s">
        <v>42</v>
      </c>
      <c r="B12" s="23">
        <v>10116.39</v>
      </c>
      <c r="C12" s="23">
        <v>14409.66</v>
      </c>
      <c r="D12" s="23">
        <v>20095.93</v>
      </c>
      <c r="E12" s="23">
        <v>30659.66</v>
      </c>
      <c r="F12" s="23">
        <v>27501.02</v>
      </c>
      <c r="G12" s="23">
        <v>27043.5</v>
      </c>
      <c r="H12" s="23">
        <v>32308.74</v>
      </c>
      <c r="I12" s="23">
        <v>35999.339999999997</v>
      </c>
      <c r="J12" s="23">
        <v>40704.28</v>
      </c>
      <c r="K12" s="23">
        <v>40837.879999999997</v>
      </c>
      <c r="L12" s="23">
        <v>43817.69</v>
      </c>
      <c r="M12" s="23">
        <v>44752.93</v>
      </c>
      <c r="N12" s="23">
        <v>46660.67</v>
      </c>
      <c r="O12" s="23">
        <v>51011.87</v>
      </c>
      <c r="P12" s="23">
        <v>49698.01</v>
      </c>
      <c r="Q12" s="24">
        <v>40863.089999999997</v>
      </c>
      <c r="R12" s="24">
        <v>37019.68</v>
      </c>
      <c r="S12" s="24">
        <v>50868.32</v>
      </c>
      <c r="T12" s="24">
        <v>48144.33</v>
      </c>
      <c r="U12" s="24">
        <v>54819.05</v>
      </c>
      <c r="V12" s="24">
        <v>53093.97</v>
      </c>
    </row>
    <row r="13" spans="1:22" s="16" customFormat="1" x14ac:dyDescent="0.25">
      <c r="A13" s="25" t="s">
        <v>43</v>
      </c>
      <c r="B13" s="26">
        <v>10264.32</v>
      </c>
      <c r="C13" s="26">
        <v>14243.19</v>
      </c>
      <c r="D13" s="26">
        <v>21049.35</v>
      </c>
      <c r="E13" s="26">
        <v>30347.86</v>
      </c>
      <c r="F13" s="26">
        <v>26290.99</v>
      </c>
      <c r="G13" s="26">
        <v>28129.95</v>
      </c>
      <c r="H13" s="26">
        <v>31679.85</v>
      </c>
      <c r="I13" s="26">
        <v>35721.1</v>
      </c>
      <c r="J13" s="26">
        <v>39421.65</v>
      </c>
      <c r="K13" s="26">
        <v>39484.46</v>
      </c>
      <c r="L13" s="26">
        <v>45628.09</v>
      </c>
      <c r="M13" s="26">
        <v>43721.96</v>
      </c>
      <c r="N13" s="26">
        <v>47541.32</v>
      </c>
      <c r="O13" s="26">
        <v>51210.48</v>
      </c>
      <c r="P13" s="26">
        <v>49547.68</v>
      </c>
      <c r="Q13" s="27">
        <v>42622.5</v>
      </c>
      <c r="R13" s="27">
        <v>36840.730000000003</v>
      </c>
      <c r="S13" s="27">
        <v>53304.74</v>
      </c>
      <c r="T13" s="27">
        <v>44919.22</v>
      </c>
      <c r="U13" s="27">
        <v>53020.98</v>
      </c>
      <c r="V13" s="27">
        <v>51985.87</v>
      </c>
    </row>
    <row r="14" spans="1:22" s="16" customFormat="1" x14ac:dyDescent="0.25">
      <c r="A14" s="22" t="s">
        <v>44</v>
      </c>
      <c r="B14" s="23">
        <v>10957.37</v>
      </c>
      <c r="C14" s="23">
        <v>16120.08</v>
      </c>
      <c r="D14" s="23">
        <v>21937.11</v>
      </c>
      <c r="E14" s="23">
        <v>30296.19</v>
      </c>
      <c r="F14" s="23">
        <v>24888.9</v>
      </c>
      <c r="G14" s="23">
        <v>29232.240000000002</v>
      </c>
      <c r="H14" s="23">
        <v>33330.339999999997</v>
      </c>
      <c r="I14" s="23">
        <v>33503.279999999999</v>
      </c>
      <c r="J14" s="23">
        <v>40866.959999999999</v>
      </c>
      <c r="K14" s="23">
        <v>40185.230000000003</v>
      </c>
      <c r="L14" s="23">
        <v>44985.66</v>
      </c>
      <c r="M14" s="23">
        <v>42632.54</v>
      </c>
      <c r="N14" s="23">
        <v>47245.8</v>
      </c>
      <c r="O14" s="23">
        <v>50346.06</v>
      </c>
      <c r="P14" s="23">
        <v>49504.160000000003</v>
      </c>
      <c r="Q14" s="24">
        <v>43011.27</v>
      </c>
      <c r="R14" s="24">
        <v>37458.69</v>
      </c>
      <c r="S14" s="24">
        <v>51385.55</v>
      </c>
      <c r="T14" s="24">
        <v>44626.8</v>
      </c>
      <c r="U14" s="24">
        <v>50874.98</v>
      </c>
      <c r="V14" s="24">
        <v>52477.3</v>
      </c>
    </row>
    <row r="15" spans="1:22" s="16" customFormat="1" x14ac:dyDescent="0.25">
      <c r="A15" s="25" t="s">
        <v>45</v>
      </c>
      <c r="B15" s="26">
        <v>11564.35</v>
      </c>
      <c r="C15" s="26">
        <v>15759.73</v>
      </c>
      <c r="D15" s="26">
        <v>23046.95</v>
      </c>
      <c r="E15" s="26">
        <v>31458.67</v>
      </c>
      <c r="F15" s="26">
        <v>20445.32</v>
      </c>
      <c r="G15" s="26">
        <v>28646.03</v>
      </c>
      <c r="H15" s="26">
        <v>35568.22</v>
      </c>
      <c r="I15" s="26">
        <v>36159.99</v>
      </c>
      <c r="J15" s="26">
        <v>41619.96</v>
      </c>
      <c r="K15" s="26">
        <v>41038.65</v>
      </c>
      <c r="L15" s="26">
        <v>45027.519999999997</v>
      </c>
      <c r="M15" s="26">
        <v>44542.76</v>
      </c>
      <c r="N15" s="26">
        <v>48009.279999999999</v>
      </c>
      <c r="O15" s="26">
        <v>48625.53</v>
      </c>
      <c r="P15" s="26">
        <v>43942.55</v>
      </c>
      <c r="Q15" s="27">
        <v>43337.279999999999</v>
      </c>
      <c r="R15" s="27">
        <v>36987.86</v>
      </c>
      <c r="S15" s="27">
        <v>51309.84</v>
      </c>
      <c r="T15" s="27">
        <v>49922.3</v>
      </c>
      <c r="U15" s="27">
        <v>49061.88</v>
      </c>
      <c r="V15" s="27">
        <v>50661.05</v>
      </c>
    </row>
    <row r="16" spans="1:22" s="16" customFormat="1" x14ac:dyDescent="0.25">
      <c r="A16" s="22" t="s">
        <v>46</v>
      </c>
      <c r="B16" s="23">
        <v>12102.55</v>
      </c>
      <c r="C16" s="23">
        <v>16830.96</v>
      </c>
      <c r="D16" s="23">
        <v>24962.01</v>
      </c>
      <c r="E16" s="23">
        <v>29770.52</v>
      </c>
      <c r="F16" s="23">
        <v>20534.72</v>
      </c>
      <c r="G16" s="23">
        <v>30957.11</v>
      </c>
      <c r="H16" s="23">
        <v>36817.32</v>
      </c>
      <c r="I16" s="23">
        <v>36829.15</v>
      </c>
      <c r="J16" s="23">
        <v>41833.519999999997</v>
      </c>
      <c r="K16" s="23">
        <v>42499.13</v>
      </c>
      <c r="L16" s="23">
        <v>44190.47</v>
      </c>
      <c r="M16" s="23">
        <v>43418.55</v>
      </c>
      <c r="N16" s="23">
        <v>45315.96</v>
      </c>
      <c r="O16" s="23">
        <v>47092.44</v>
      </c>
      <c r="P16" s="23">
        <v>41732.78</v>
      </c>
      <c r="Q16" s="24">
        <v>42820.18</v>
      </c>
      <c r="R16" s="24">
        <v>41778.870000000003</v>
      </c>
      <c r="S16" s="24">
        <v>49698.720000000001</v>
      </c>
      <c r="T16" s="24">
        <v>51684.86</v>
      </c>
      <c r="U16" s="24">
        <v>54060.01</v>
      </c>
      <c r="V16" s="24">
        <v>49812.639999999999</v>
      </c>
    </row>
    <row r="17" spans="1:23" s="16" customFormat="1" x14ac:dyDescent="0.25">
      <c r="A17" s="25" t="s">
        <v>47</v>
      </c>
      <c r="B17" s="26">
        <v>12917.88</v>
      </c>
      <c r="C17" s="26">
        <v>17802.71</v>
      </c>
      <c r="D17" s="26">
        <v>26448.32</v>
      </c>
      <c r="E17" s="26">
        <v>29536.83</v>
      </c>
      <c r="F17" s="26">
        <v>22380.32</v>
      </c>
      <c r="G17" s="26">
        <v>32120.47</v>
      </c>
      <c r="H17" s="26">
        <v>38550.79</v>
      </c>
      <c r="I17" s="26">
        <v>37077.519999999997</v>
      </c>
      <c r="J17" s="26">
        <v>43705.83</v>
      </c>
      <c r="K17" s="26">
        <v>42727.09</v>
      </c>
      <c r="L17" s="26">
        <v>43145.66</v>
      </c>
      <c r="M17" s="26">
        <v>42977.5</v>
      </c>
      <c r="N17" s="26">
        <v>45642.9</v>
      </c>
      <c r="O17" s="26">
        <v>49354.42</v>
      </c>
      <c r="P17" s="26">
        <v>41640.269999999997</v>
      </c>
      <c r="Q17" s="27">
        <v>43541.02</v>
      </c>
      <c r="R17" s="27">
        <v>44066.879999999997</v>
      </c>
      <c r="S17" s="27">
        <v>53272.44</v>
      </c>
      <c r="T17" s="27">
        <v>48463.86</v>
      </c>
      <c r="U17" s="27">
        <v>57386.25</v>
      </c>
      <c r="V17" s="27">
        <v>49513.27</v>
      </c>
    </row>
    <row r="18" spans="1:23" s="16" customFormat="1" ht="15" x14ac:dyDescent="0.25">
      <c r="A18" s="28" t="s">
        <v>48</v>
      </c>
      <c r="B18" s="49" t="s">
        <v>29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3" s="16" customFormat="1" ht="15" x14ac:dyDescent="0.25">
      <c r="B19" s="13" t="s">
        <v>128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3" s="16" customFormat="1" ht="15" x14ac:dyDescent="0.25">
      <c r="A20" s="18" t="s">
        <v>49</v>
      </c>
      <c r="B20" s="3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3" s="16" customFormat="1" x14ac:dyDescent="0.25">
      <c r="A21" s="138" t="s">
        <v>50</v>
      </c>
      <c r="B21" s="136">
        <f>B5</f>
        <v>2004</v>
      </c>
      <c r="C21" s="136">
        <f t="shared" ref="C21:V21" si="1">C5</f>
        <v>2005</v>
      </c>
      <c r="D21" s="136">
        <f t="shared" si="1"/>
        <v>2006</v>
      </c>
      <c r="E21" s="136">
        <f t="shared" si="1"/>
        <v>2007</v>
      </c>
      <c r="F21" s="136">
        <f t="shared" si="1"/>
        <v>2008</v>
      </c>
      <c r="G21" s="136">
        <f t="shared" si="1"/>
        <v>2009</v>
      </c>
      <c r="H21" s="136">
        <f t="shared" si="1"/>
        <v>2010</v>
      </c>
      <c r="I21" s="136">
        <f t="shared" si="1"/>
        <v>2011</v>
      </c>
      <c r="J21" s="136">
        <f t="shared" si="1"/>
        <v>2012</v>
      </c>
      <c r="K21" s="136">
        <f t="shared" si="1"/>
        <v>2013</v>
      </c>
      <c r="L21" s="136">
        <f t="shared" si="1"/>
        <v>2014</v>
      </c>
      <c r="M21" s="136">
        <f t="shared" si="1"/>
        <v>2015</v>
      </c>
      <c r="N21" s="136">
        <f t="shared" si="1"/>
        <v>2016</v>
      </c>
      <c r="O21" s="136">
        <f t="shared" si="1"/>
        <v>2017</v>
      </c>
      <c r="P21" s="136">
        <f t="shared" si="1"/>
        <v>2018</v>
      </c>
      <c r="Q21" s="136">
        <f t="shared" si="1"/>
        <v>2019</v>
      </c>
      <c r="R21" s="136">
        <f t="shared" si="1"/>
        <v>2020</v>
      </c>
      <c r="S21" s="136">
        <f t="shared" si="1"/>
        <v>2021</v>
      </c>
      <c r="T21" s="136">
        <f t="shared" si="1"/>
        <v>2022</v>
      </c>
      <c r="U21" s="136">
        <f t="shared" si="1"/>
        <v>2023</v>
      </c>
      <c r="V21" s="136">
        <f t="shared" si="1"/>
        <v>2024</v>
      </c>
    </row>
    <row r="22" spans="1:23" s="16" customFormat="1" x14ac:dyDescent="0.25">
      <c r="A22" s="139" t="s">
        <v>47</v>
      </c>
      <c r="B22" s="32">
        <f>VLOOKUP($A$22,($A$6:$V$17),2,FALSE)</f>
        <v>12917.88</v>
      </c>
      <c r="C22" s="32">
        <f>VLOOKUP($A$22,($A$6:$V$17),3,FALSE)</f>
        <v>17802.71</v>
      </c>
      <c r="D22" s="32">
        <f>VLOOKUP($A$22,($A$6:$V$17),4,FALSE)</f>
        <v>26448.32</v>
      </c>
      <c r="E22" s="32">
        <f>VLOOKUP($A$22,($A$6:$V$17),5,FALSE)</f>
        <v>29536.83</v>
      </c>
      <c r="F22" s="32">
        <f>VLOOKUP($A$22,($A$6:$V$17),6,FALSE)</f>
        <v>22380.32</v>
      </c>
      <c r="G22" s="32">
        <f>VLOOKUP($A$22,($A$6:$V$17),7,FALSE)</f>
        <v>32120.47</v>
      </c>
      <c r="H22" s="32">
        <f>VLOOKUP($A$22,($A$6:$V$17),8,FALSE)</f>
        <v>38550.79</v>
      </c>
      <c r="I22" s="32">
        <f>VLOOKUP($A$22,($A$6:$V$17),9,FALSE)</f>
        <v>37077.519999999997</v>
      </c>
      <c r="J22" s="32">
        <f>VLOOKUP($A$22,($A$6:$V$17),10,FALSE)</f>
        <v>43705.83</v>
      </c>
      <c r="K22" s="32">
        <f>VLOOKUP($A$22,($A$6:$V$17),11,FALSE)</f>
        <v>42727.09</v>
      </c>
      <c r="L22" s="32">
        <f>VLOOKUP($A$22,($A$6:$V$17),12,FALSE)</f>
        <v>43145.66</v>
      </c>
      <c r="M22" s="32">
        <f>VLOOKUP($A$22,($A$6:$V$17),13,FALSE)</f>
        <v>42977.5</v>
      </c>
      <c r="N22" s="32">
        <f>VLOOKUP($A$22,($A$6:$V$17),14,FALSE)</f>
        <v>45642.9</v>
      </c>
      <c r="O22" s="32">
        <f>VLOOKUP($A$22,($A$6:$V$17),15,FALSE)</f>
        <v>49354.42</v>
      </c>
      <c r="P22" s="32">
        <f>VLOOKUP($A$22,($A$6:$V$17),16,FALSE)</f>
        <v>41640.269999999997</v>
      </c>
      <c r="Q22" s="32">
        <f>VLOOKUP($A$22,($A$6:$V$17),17,FALSE)</f>
        <v>43541.02</v>
      </c>
      <c r="R22" s="32">
        <f>VLOOKUP($A$22,($A$6:$V$17),18,FALSE)</f>
        <v>44066.879999999997</v>
      </c>
      <c r="S22" s="32">
        <f>VLOOKUP($A$22,($A$6:$V$17),19,FALSE)</f>
        <v>53272.44</v>
      </c>
      <c r="T22" s="32">
        <f>VLOOKUP($A$22,($A$6:$V$17),20,FALSE)</f>
        <v>48463.86</v>
      </c>
      <c r="U22" s="32">
        <f>VLOOKUP($A$22,($A$6:$V$17),21,FALSE)</f>
        <v>57386.25</v>
      </c>
      <c r="V22" s="32">
        <f>VLOOKUP($A$22,($A$6:$V$17),22,FALSE)</f>
        <v>49513.27</v>
      </c>
    </row>
    <row r="23" spans="1:23" s="16" customFormat="1" x14ac:dyDescent="0.25">
      <c r="A23" s="31"/>
      <c r="B23" s="33" t="s">
        <v>51</v>
      </c>
      <c r="C23" s="34">
        <f>(C22/B22)-1</f>
        <v>0.37814486587582485</v>
      </c>
      <c r="D23" s="34">
        <f>(D22/C22)-1</f>
        <v>0.48563449047925844</v>
      </c>
      <c r="E23" s="34">
        <f t="shared" ref="E23:U23" si="2">(E22/D22)-1</f>
        <v>0.1167752810008349</v>
      </c>
      <c r="F23" s="34">
        <f t="shared" si="2"/>
        <v>-0.24229106508721487</v>
      </c>
      <c r="G23" s="34">
        <f t="shared" si="2"/>
        <v>0.43521048850061139</v>
      </c>
      <c r="H23" s="34">
        <f t="shared" si="2"/>
        <v>0.20019383278015535</v>
      </c>
      <c r="I23" s="34">
        <f t="shared" si="2"/>
        <v>-3.8216337460270089E-2</v>
      </c>
      <c r="J23" s="34">
        <f t="shared" si="2"/>
        <v>0.17876896836681655</v>
      </c>
      <c r="K23" s="34">
        <f t="shared" si="2"/>
        <v>-2.239380878935382E-2</v>
      </c>
      <c r="L23" s="34">
        <f t="shared" si="2"/>
        <v>9.7963610440123805E-3</v>
      </c>
      <c r="M23" s="34">
        <f t="shared" si="2"/>
        <v>-3.8974951362432675E-3</v>
      </c>
      <c r="N23" s="34">
        <f t="shared" si="2"/>
        <v>6.2018498051305881E-2</v>
      </c>
      <c r="O23" s="34">
        <f t="shared" si="2"/>
        <v>8.1316480766997712E-2</v>
      </c>
      <c r="P23" s="34">
        <f t="shared" si="2"/>
        <v>-0.15630109724721719</v>
      </c>
      <c r="Q23" s="34">
        <f t="shared" si="2"/>
        <v>4.564691823564071E-2</v>
      </c>
      <c r="R23" s="34">
        <f t="shared" si="2"/>
        <v>1.2077346832940483E-2</v>
      </c>
      <c r="S23" s="34">
        <f t="shared" si="2"/>
        <v>0.20889974511469855</v>
      </c>
      <c r="T23" s="34">
        <f t="shared" si="2"/>
        <v>-9.0263933846469246E-2</v>
      </c>
      <c r="U23" s="34">
        <f t="shared" si="2"/>
        <v>0.18410399006599976</v>
      </c>
      <c r="V23" s="34">
        <f>(V22/U22)-1</f>
        <v>-0.13719279444117716</v>
      </c>
      <c r="W23" s="50"/>
    </row>
    <row r="24" spans="1:23" s="16" customFormat="1" hidden="1" x14ac:dyDescent="0.25">
      <c r="B24" s="35" t="s">
        <v>52</v>
      </c>
      <c r="C24" s="34">
        <f>LN(C22/B22)</f>
        <v>0.32073829469716736</v>
      </c>
      <c r="D24" s="34">
        <f t="shared" ref="D24:U24" si="3">LN(D22/C22)</f>
        <v>0.39584194731840128</v>
      </c>
      <c r="E24" s="34">
        <f t="shared" si="3"/>
        <v>0.11044531900669133</v>
      </c>
      <c r="F24" s="34">
        <f t="shared" si="3"/>
        <v>-0.27745595796337263</v>
      </c>
      <c r="G24" s="34">
        <f t="shared" si="3"/>
        <v>0.36131152033680819</v>
      </c>
      <c r="H24" s="34">
        <f t="shared" si="3"/>
        <v>0.18248307106661835</v>
      </c>
      <c r="I24" s="34">
        <f t="shared" si="3"/>
        <v>-3.8965736621241108E-2</v>
      </c>
      <c r="J24" s="34">
        <f t="shared" si="3"/>
        <v>0.164470646769729</v>
      </c>
      <c r="K24" s="34">
        <f t="shared" si="3"/>
        <v>-2.2648357513413403E-2</v>
      </c>
      <c r="L24" s="34">
        <f t="shared" si="3"/>
        <v>9.7486877958725873E-3</v>
      </c>
      <c r="M24" s="34">
        <f t="shared" si="3"/>
        <v>-3.9051101632053124E-3</v>
      </c>
      <c r="N24" s="34">
        <f t="shared" si="3"/>
        <v>6.0171340795459938E-2</v>
      </c>
      <c r="O24" s="34">
        <f t="shared" si="3"/>
        <v>7.8179262476246222E-2</v>
      </c>
      <c r="P24" s="34">
        <f t="shared" si="3"/>
        <v>-0.16995959832961571</v>
      </c>
      <c r="Q24" s="34">
        <f t="shared" si="3"/>
        <v>4.4635754390435427E-2</v>
      </c>
      <c r="R24" s="34">
        <f t="shared" si="3"/>
        <v>1.2004997621493525E-2</v>
      </c>
      <c r="S24" s="34">
        <f t="shared" si="3"/>
        <v>0.18971064438510413</v>
      </c>
      <c r="T24" s="34">
        <f t="shared" si="3"/>
        <v>-9.4600758734085064E-2</v>
      </c>
      <c r="U24" s="34">
        <f t="shared" si="3"/>
        <v>0.16898636205266876</v>
      </c>
      <c r="V24" s="34">
        <f>LN(V22/U22)</f>
        <v>-0.14756401313573231</v>
      </c>
    </row>
    <row r="25" spans="1:23" s="16" customFormat="1" hidden="1" x14ac:dyDescent="0.25">
      <c r="B25" s="35" t="s">
        <v>53</v>
      </c>
      <c r="C25" s="32">
        <f>V22/B22</f>
        <v>3.8329253716554108</v>
      </c>
      <c r="D25" s="119">
        <f>((C25)^(1/V4))-1</f>
        <v>6.9489482879912856E-2</v>
      </c>
    </row>
    <row r="27" spans="1:23" ht="15" x14ac:dyDescent="0.2">
      <c r="A27" s="18" t="s">
        <v>54</v>
      </c>
      <c r="E27" s="120"/>
    </row>
    <row r="28" spans="1:23" x14ac:dyDescent="0.2">
      <c r="A28" s="36" t="s">
        <v>55</v>
      </c>
      <c r="B28" s="37"/>
      <c r="C28" s="38">
        <f>AVERAGE(C23:V23)</f>
        <v>8.5401536755357554E-2</v>
      </c>
    </row>
    <row r="29" spans="1:23" hidden="1" x14ac:dyDescent="0.2">
      <c r="A29" s="39" t="s">
        <v>56</v>
      </c>
      <c r="B29" s="40"/>
      <c r="C29" s="41">
        <f>AVERAGE(C24:V24)</f>
        <v>6.7181415812601536E-2</v>
      </c>
    </row>
    <row r="30" spans="1:23" hidden="1" x14ac:dyDescent="0.2">
      <c r="A30" s="36" t="s">
        <v>57</v>
      </c>
      <c r="B30" s="37"/>
      <c r="C30" s="38">
        <f>((C25)^(1/V4))-1</f>
        <v>6.9489482879912856E-2</v>
      </c>
    </row>
    <row r="31" spans="1:23" x14ac:dyDescent="0.2"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</row>
    <row r="34" spans="1:22" x14ac:dyDescent="0.2">
      <c r="A34" s="5" t="s">
        <v>19</v>
      </c>
      <c r="B34" s="6"/>
    </row>
    <row r="35" spans="1:22" x14ac:dyDescent="0.2">
      <c r="A35" s="7" t="s">
        <v>59</v>
      </c>
      <c r="B35" s="8">
        <f>+C28</f>
        <v>8.5401536755357554E-2</v>
      </c>
    </row>
    <row r="36" spans="1:22" x14ac:dyDescent="0.2">
      <c r="A36" s="9" t="s">
        <v>21</v>
      </c>
      <c r="B36" s="10">
        <f>+INPC!D337/100</f>
        <v>4.3998465238327844E-2</v>
      </c>
    </row>
    <row r="37" spans="1:22" x14ac:dyDescent="0.2">
      <c r="A37" s="11" t="s">
        <v>22</v>
      </c>
      <c r="B37" s="12">
        <f>(B35-B36)/(1+B36)</f>
        <v>3.9658172780529966E-2</v>
      </c>
    </row>
    <row r="43" spans="1:22" x14ac:dyDescent="0.2"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</row>
    <row r="44" spans="1:22" x14ac:dyDescent="0.2">
      <c r="V44" s="130"/>
    </row>
  </sheetData>
  <dataValidations count="1">
    <dataValidation type="list" allowBlank="1" showInputMessage="1" showErrorMessage="1" sqref="A22">
      <formula1>$A$6:$A$17</formula1>
    </dataValidation>
  </dataValidations>
  <hyperlinks>
    <hyperlink ref="B18" r:id="rId1"/>
    <hyperlink ref="B19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Tasa de Capitalizacion</vt:lpstr>
      <vt:lpstr>Indicadores para avaluos</vt:lpstr>
      <vt:lpstr>VUE - Vida Util Economica</vt:lpstr>
      <vt:lpstr>Ecuacion de la tasa</vt:lpstr>
      <vt:lpstr>CAPM WACC</vt:lpstr>
      <vt:lpstr>CETES</vt:lpstr>
      <vt:lpstr>INPC</vt:lpstr>
      <vt:lpstr>TIIE </vt:lpstr>
      <vt:lpstr>IPyC 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Tasvaluo</dc:creator>
  <cp:lastModifiedBy>DIEGO PABLO SANCEN DIAZ</cp:lastModifiedBy>
  <dcterms:created xsi:type="dcterms:W3CDTF">2019-07-09T18:40:15Z</dcterms:created>
  <dcterms:modified xsi:type="dcterms:W3CDTF">2025-01-29T23:02:50Z</dcterms:modified>
</cp:coreProperties>
</file>